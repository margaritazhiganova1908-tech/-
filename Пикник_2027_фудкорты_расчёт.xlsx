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удкорты 2027" sheetId="1" state="visible" r:id="rId3"/>
    <sheet name="План продаж" sheetId="2" state="visible" r:id="rId4"/>
    <sheet name="Опции пакетов" sheetId="3" state="visible" r:id="rId5"/>
    <sheet name="Стратегия скидок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4 515 279 — с/с 2026 на 33 корнера из «Бюджета»; в 2027 на 25 точек ожидается примерно на 1 млн меньше (оценка пользователя).</t>
        </r>
      </text>
    </comment>
  </commentList>
</comments>
</file>

<file path=xl/sharedStrings.xml><?xml version="1.0" encoding="utf-8"?>
<sst xmlns="http://schemas.openxmlformats.org/spreadsheetml/2006/main" count="318" uniqueCount="212">
  <si>
    <t xml:space="preserve">Фудкорты 2027: себестоимость, цена резиденту и маржа</t>
  </si>
  <si>
    <t xml:space="preserve">Жёлтые ячейки — ввод. Себестоимость и цены — из вкладки «Бюджет» (данные пользователя). Цена резиденту — с НДС.</t>
  </si>
  <si>
    <t xml:space="preserve">НДС</t>
  </si>
  <si>
    <t xml:space="preserve">Город</t>
  </si>
  <si>
    <t xml:space="preserve">Фудкорт</t>
  </si>
  <si>
    <t xml:space="preserve">Формат точки</t>
  </si>
  <si>
    <t xml:space="preserve">Точек</t>
  </si>
  <si>
    <t xml:space="preserve">С/с фудкорта, ₽</t>
  </si>
  <si>
    <t xml:space="preserve">С/с на точку, ₽</t>
  </si>
  <si>
    <t xml:space="preserve">Цена резиденту с НДС, ₽</t>
  </si>
  <si>
    <t xml:space="preserve">Цена без НДС, ₽</t>
  </si>
  <si>
    <t xml:space="preserve">Маржа на точку, ₽</t>
  </si>
  <si>
    <t xml:space="preserve">Маржа фудкорта, ₽</t>
  </si>
  <si>
    <t xml:space="preserve">Безубыток, точек</t>
  </si>
  <si>
    <t xml:space="preserve">Цена 2026, ₽</t>
  </si>
  <si>
    <t xml:space="preserve">Комментарий</t>
  </si>
  <si>
    <t xml:space="preserve">Москва</t>
  </si>
  <si>
    <t xml:space="preserve">Основной (большой)</t>
  </si>
  <si>
    <t xml:space="preserve">корнер 3×3</t>
  </si>
  <si>
    <t xml:space="preserve">195–280 тыс (Корнер №1–4, железо)</t>
  </si>
  <si>
    <t xml:space="preserve">С/с 2026 на 33 точки (4,52 млн) минус ~1 млн экономии в 2027 — оценка пользователя</t>
  </si>
  <si>
    <t xml:space="preserve">Основной, двойной корнер</t>
  </si>
  <si>
    <t xml:space="preserve">корнер 6×3</t>
  </si>
  <si>
    <t xml:space="preserve">450–475 тыс</t>
  </si>
  <si>
    <t xml:space="preserve">1 двойной = 2 места из 25</t>
  </si>
  <si>
    <t xml:space="preserve">Купер (доставка + общий трафик)</t>
  </si>
  <si>
    <t xml:space="preserve">шатёр-кухня 5×5</t>
  </si>
  <si>
    <t xml:space="preserve">Dark Kitchen 390 тыс</t>
  </si>
  <si>
    <t xml:space="preserve">Нет расчёта себестоимости шатра-пагоды</t>
  </si>
  <si>
    <t xml:space="preserve">2-я сцена</t>
  </si>
  <si>
    <t xml:space="preserve">корнер</t>
  </si>
  <si>
    <t xml:space="preserve">Нет себестоимости и цены</t>
  </si>
  <si>
    <t xml:space="preserve">VIP</t>
  </si>
  <si>
    <t xml:space="preserve">ВИП-корнер 250 тыс</t>
  </si>
  <si>
    <t xml:space="preserve">Мороженое</t>
  </si>
  <si>
    <t xml:space="preserve">тележка</t>
  </si>
  <si>
    <t xml:space="preserve">75 тыс</t>
  </si>
  <si>
    <t xml:space="preserve">Деревянный ФК</t>
  </si>
  <si>
    <t xml:space="preserve">корнер 4,5×3</t>
  </si>
  <si>
    <t xml:space="preserve">Есть в «Бюджете», но нет в новом плане Москвы — оставить или убрать?</t>
  </si>
  <si>
    <t xml:space="preserve">Петербург</t>
  </si>
  <si>
    <t xml:space="preserve">Основной</t>
  </si>
  <si>
    <t xml:space="preserve">180–260 тыс (Корнер №1–4, железо)</t>
  </si>
  <si>
    <t xml:space="preserve">В «Бюджете» с/с делится на 33, а точек 15. Здесь — на 15</t>
  </si>
  <si>
    <t xml:space="preserve">410–435 тыс</t>
  </si>
  <si>
    <t xml:space="preserve">1 двойной = 2 места из 15</t>
  </si>
  <si>
    <t xml:space="preserve">160–220 тыс (дерево 3×3)</t>
  </si>
  <si>
    <t xml:space="preserve">Итого Москва (основной + дерево)</t>
  </si>
  <si>
    <t xml:space="preserve">Итого Петербург (основной + дерево)</t>
  </si>
  <si>
    <t xml:space="preserve">Маржа фудкорта считается при продаже всех точек. Безубыток — сколько точек нужно продать, чтобы покрыть с/с фудкорта.</t>
  </si>
  <si>
    <t xml:space="preserve">Проверка для резидента: окупит ли он пакет</t>
  </si>
  <si>
    <t xml:space="preserve">Цена пакета, ₽</t>
  </si>
  <si>
    <t xml:space="preserve">Средний чек, ₽</t>
  </si>
  <si>
    <t xml:space="preserve">Допущение — замените фактическим средним чеком 2026</t>
  </si>
  <si>
    <t xml:space="preserve">Доля пакета в выручке резидента (ориентир)</t>
  </si>
  <si>
    <t xml:space="preserve">Ориентир, не норма: при доле выше ~20% резидент обычно уходит в минус после продуктов и персонала</t>
  </si>
  <si>
    <t xml:space="preserve">Нужная выручка резидента за фестиваль, ₽</t>
  </si>
  <si>
    <t xml:space="preserve">Нужно чеков за фестиваль</t>
  </si>
  <si>
    <t xml:space="preserve">План продаж 2027 — вал по пакетам</t>
  </si>
  <si>
    <t xml:space="preserve">Жёлтое — ввод. Зелёное — ссылка на лист «Фудкорты 2027». Цены с НДС.</t>
  </si>
  <si>
    <t xml:space="preserve">Пакет</t>
  </si>
  <si>
    <t xml:space="preserve">Ед.</t>
  </si>
  <si>
    <t xml:space="preserve">Кол-во</t>
  </si>
  <si>
    <t xml:space="preserve">Цена с НДС, ₽</t>
  </si>
  <si>
    <t xml:space="preserve">Вал с НДС, ₽</t>
  </si>
  <si>
    <t xml:space="preserve">Вал без НДС, ₽</t>
  </si>
  <si>
    <t xml:space="preserve">С/с, ₽</t>
  </si>
  <si>
    <t xml:space="preserve">Маржа, ₽</t>
  </si>
  <si>
    <t xml:space="preserve">Основной фудкорт, корнер 3×3</t>
  </si>
  <si>
    <t xml:space="preserve">точка</t>
  </si>
  <si>
    <t xml:space="preserve">Фудкорт Купер, шатёр-кухня 5×5</t>
  </si>
  <si>
    <t xml:space="preserve">Два потока: доставка + трафик. Нет с/с шатра</t>
  </si>
  <si>
    <t xml:space="preserve">Фудкорт 2-й сцены, корнер</t>
  </si>
  <si>
    <t xml:space="preserve">Цена — допущение (как корнер 3×3). Нет с/с</t>
  </si>
  <si>
    <t xml:space="preserve">Деревянный фудкорт, корнер 4,5×3</t>
  </si>
  <si>
    <t xml:space="preserve">Уточнить: входит ли в план 2027</t>
  </si>
  <si>
    <t xml:space="preserve">Мороженое, пакет на 4 тележки</t>
  </si>
  <si>
    <t xml:space="preserve">пакет</t>
  </si>
  <si>
    <t xml:space="preserve">С/с посчитана на 15 точек — проверить (в «Бюджете» ÷33)</t>
  </si>
  <si>
    <t xml:space="preserve">Мск + СПб</t>
  </si>
  <si>
    <t xml:space="preserve">VIP фудкорт — Smoke BBQ (4 точки Мск + 3 СПб)</t>
  </si>
  <si>
    <t xml:space="preserve">Фикс. Альтернатива 60/40 — блок ниже</t>
  </si>
  <si>
    <t xml:space="preserve">Бар — партнёр, 60/40 за вычетом с/с продукта</t>
  </si>
  <si>
    <t xml:space="preserve">%</t>
  </si>
  <si>
    <t xml:space="preserve">Доход Афиши из блока 60/40 (ниже), пересчитан с НДС для сопоставимости</t>
  </si>
  <si>
    <t xml:space="preserve">ИТОГО</t>
  </si>
  <si>
    <t xml:space="preserve">Маржа — только по строкам, где есть с/с</t>
  </si>
  <si>
    <t xml:space="preserve">Модель 60/40: Афиша 60% / партнёр 40% от (выручка − с/с продукта)</t>
  </si>
  <si>
    <t xml:space="preserve">Показатель</t>
  </si>
  <si>
    <t xml:space="preserve">Smoke BBQ (VIP)</t>
  </si>
  <si>
    <t xml:space="preserve">Бар</t>
  </si>
  <si>
    <t xml:space="preserve">Прогноз выручки точки за оба фестиваля, ₽</t>
  </si>
  <si>
    <t xml:space="preserve">Введите прогноз — без него доход не считается</t>
  </si>
  <si>
    <t xml:space="preserve">С/с продукта, % от выручки</t>
  </si>
  <si>
    <t xml:space="preserve">Допущение — уточнить по меню партнёра</t>
  </si>
  <si>
    <t xml:space="preserve">Доля Афиши</t>
  </si>
  <si>
    <t xml:space="preserve">Доход Афиши, ₽</t>
  </si>
  <si>
    <t xml:space="preserve">Фикс для сравнения, ₽</t>
  </si>
  <si>
    <t xml:space="preserve">Выручка, при которой 60/40 = фикс, ₽</t>
  </si>
  <si>
    <t xml:space="preserve">Комбо Москва + Петербург</t>
  </si>
  <si>
    <t xml:space="preserve">Скидка ранней волны (до 31 января)</t>
  </si>
  <si>
    <t xml:space="preserve">Скидка стандартного комбо (февраль–май)</t>
  </si>
  <si>
    <t xml:space="preserve">Волна</t>
  </si>
  <si>
    <t xml:space="preserve">Комбо</t>
  </si>
  <si>
    <t xml:space="preserve">Цена отдельно, ₽</t>
  </si>
  <si>
    <t xml:space="preserve">План, шт</t>
  </si>
  <si>
    <t xml:space="preserve">Цена комбо, ₽</t>
  </si>
  <si>
    <t xml:space="preserve">Мин. цена (с/с с НДС), ₽</t>
  </si>
  <si>
    <t xml:space="preserve">Проверка</t>
  </si>
  <si>
    <t xml:space="preserve">Скидка всего, ₽</t>
  </si>
  <si>
    <t xml:space="preserve">Январь (ранняя)</t>
  </si>
  <si>
    <t xml:space="preserve">2 железных: Мск 3×3 + СПб 3×3</t>
  </si>
  <si>
    <t xml:space="preserve">Дерево Мск + железо СПб</t>
  </si>
  <si>
    <t xml:space="preserve">Железо Мск + дерево СПб</t>
  </si>
  <si>
    <t xml:space="preserve">Февраль–май</t>
  </si>
  <si>
    <t xml:space="preserve">Скидки по комбо всего</t>
  </si>
  <si>
    <t xml:space="preserve">Вал с НДС с учётом скидок по комбо</t>
  </si>
  <si>
    <t xml:space="preserve">Комбо занимают места из основных фудкортов: 1 комбо = 1 место в Москве + 1 в Петербурге. Штуки комбо — допущение, меняйте.</t>
  </si>
  <si>
    <t xml:space="preserve">«Ниже с/с» у комбо с железом СПб — из-за с/с СПб на 15 точек. Если точек 33, проверка станет «ок».</t>
  </si>
  <si>
    <t xml:space="preserve">Цель продаж по месяцам (накопительно)</t>
  </si>
  <si>
    <t xml:space="preserve">Месяц</t>
  </si>
  <si>
    <t xml:space="preserve">Доля вала</t>
  </si>
  <si>
    <t xml:space="preserve">Вал накопит., ₽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</si>
  <si>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</si>
  <si>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</si>
  <si>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</si>
  <si>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</si>
  <si>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</si>
  <si>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Что входит в каждый пакет</t>
  </si>
  <si>
    <t xml:space="preserve">✓ — входит. Электричество: предложение — базовая мощность в цене, сверх — доплата (сейчас цена одна для любой мощности).</t>
  </si>
  <si>
    <t xml:space="preserve">Торговое место</t>
  </si>
  <si>
    <t xml:space="preserve">Вывеска с названием</t>
  </si>
  <si>
    <t xml:space="preserve">Печать меню</t>
  </si>
  <si>
    <t xml:space="preserve">Эквайринг Сбера (спецусловия)</t>
  </si>
  <si>
    <t xml:space="preserve">Клининг</t>
  </si>
  <si>
    <t xml:space="preserve">Вода</t>
  </si>
  <si>
    <t xml:space="preserve">Электро-подключение, кВт</t>
  </si>
  <si>
    <t xml:space="preserve">За доплату</t>
  </si>
  <si>
    <t xml:space="preserve">Корнер 3×3, основной фудкорт</t>
  </si>
  <si>
    <t xml:space="preserve">Мск / СПб</t>
  </si>
  <si>
    <t xml:space="preserve">3×3 м</t>
  </si>
  <si>
    <t xml:space="preserve">✓</t>
  </si>
  <si>
    <t xml:space="preserve">до 5 кВт</t>
  </si>
  <si>
    <t xml:space="preserve">Доп. кВт, выбор места, продвижение в соцсетях, фото/видео, ночное хранение, Гастрогостиная, доп. персонал</t>
  </si>
  <si>
    <t xml:space="preserve">Корнер 6×3 (двойной)</t>
  </si>
  <si>
    <t xml:space="preserve">6×3 м</t>
  </si>
  <si>
    <t xml:space="preserve">✓ (2 шт)</t>
  </si>
  <si>
    <t xml:space="preserve">до 10 кВт</t>
  </si>
  <si>
    <t xml:space="preserve">Корнер 4,5×3, деревянный фудкорт</t>
  </si>
  <si>
    <t xml:space="preserve">4,5×3 м</t>
  </si>
  <si>
    <t xml:space="preserve">Шатёр-кухня 5×5, фудкорт Купер</t>
  </si>
  <si>
    <t xml:space="preserve">Мск</t>
  </si>
  <si>
    <t xml:space="preserve">5×5 м</t>
  </si>
  <si>
    <t xml:space="preserve">до 15 кВт</t>
  </si>
  <si>
    <t xml:space="preserve">Корнер, фудкорт 2-й сцены</t>
  </si>
  <si>
    <t xml:space="preserve">VIP фудкорт (Smoke BBQ)</t>
  </si>
  <si>
    <t xml:space="preserve">4 + 3 точки</t>
  </si>
  <si>
    <t xml:space="preserve">по райдеру</t>
  </si>
  <si>
    <t xml:space="preserve">Тележка мороженого</t>
  </si>
  <si>
    <t xml:space="preserve">—</t>
  </si>
  <si>
    <t xml:space="preserve">до 3 кВт</t>
  </si>
  <si>
    <t xml:space="preserve">Бар (партнёр)</t>
  </si>
  <si>
    <t xml:space="preserve">по плану</t>
  </si>
  <si>
    <t xml:space="preserve">Жёлтое (кВт) — предложение, утвердите с техпродакшном. Вывеска и вода для тележек — «—», уточнить.</t>
  </si>
  <si>
    <t xml:space="preserve">Стратегия продаж и скидок 2027</t>
  </si>
  <si>
    <t xml:space="preserve">Принцип: не «даём скидку», а «цена растёт со временем». Скидка — только по правилам ниже, без торга.</t>
  </si>
  <si>
    <t xml:space="preserve">Сроки</t>
  </si>
  <si>
    <t xml:space="preserve">Что продаём</t>
  </si>
  <si>
    <t xml:space="preserve">Цена</t>
  </si>
  <si>
    <t xml:space="preserve">Условия оплаты</t>
  </si>
  <si>
    <t xml:space="preserve">Лимит</t>
  </si>
  <si>
    <t xml:space="preserve">0. Рассылка</t>
  </si>
  <si>
    <t xml:space="preserve">22–26 декабря</t>
  </si>
  <si>
    <t xml:space="preserve">Презентация + оферта + прайс + опции всем резидентам 2026 и лонг-листу</t>
  </si>
  <si>
    <t xml:space="preserve">1. Ранний вход</t>
  </si>
  <si>
    <t xml:space="preserve">до 31 января</t>
  </si>
  <si>
    <t xml:space="preserve">Комбо Мск + СПб, VIP (Smoke BBQ), бар</t>
  </si>
  <si>
    <t xml:space="preserve">Комбо −10% к сумме двух мест</t>
  </si>
  <si>
    <t xml:space="preserve">100% предоплата, без возврата (перенос на 2028 — по решению)</t>
  </si>
  <si>
    <t xml:space="preserve">Комбо ≤ 8 шт. железо+железо и ≤ 6 дерево+железо; после лимита — волна 2</t>
  </si>
  <si>
    <t xml:space="preserve">2. Основная</t>
  </si>
  <si>
    <t xml:space="preserve">1 февраля – 31 марта</t>
  </si>
  <si>
    <t xml:space="preserve">Одиночные места, комбо</t>
  </si>
  <si>
    <t xml:space="preserve">Комбо −5%; одиночные — по прайсу</t>
  </si>
  <si>
    <t xml:space="preserve">50% при брони, 50% до 1 мая</t>
  </si>
  <si>
    <t xml:space="preserve">Комбо ≤ 30% мест основного фудкорта</t>
  </si>
  <si>
    <t xml:space="preserve">3. Добор</t>
  </si>
  <si>
    <t xml:space="preserve">1 апреля – 15 мая</t>
  </si>
  <si>
    <t xml:space="preserve">Оставшиеся места, опенколл</t>
  </si>
  <si>
    <t xml:space="preserve">По прайсу</t>
  </si>
  <si>
    <t xml:space="preserve">100% при брони</t>
  </si>
  <si>
    <t xml:space="preserve">4. Последние места</t>
  </si>
  <si>
    <t xml:space="preserve">после 15 мая</t>
  </si>
  <si>
    <t xml:space="preserve">Свободные места</t>
  </si>
  <si>
    <t xml:space="preserve">Прайс +10%</t>
  </si>
  <si>
    <t xml:space="preserve">100% сразу</t>
  </si>
  <si>
    <t xml:space="preserve">Только при наличии мест</t>
  </si>
  <si>
    <t xml:space="preserve">Правила скидок</t>
  </si>
  <si>
    <t xml:space="preserve">Кто даёт скидку</t>
  </si>
  <si>
    <t xml:space="preserve">Только руководитель гастронаправления. Менеджеры продают по прайсу и волнам.</t>
  </si>
  <si>
    <t xml:space="preserve">Максимум</t>
  </si>
  <si>
    <t xml:space="preserve">10% к прайсу и никогда ниже с/с с НДС (столбец «Мин. цена» на листе «План продаж»).</t>
  </si>
  <si>
    <t xml:space="preserve">За что скидка</t>
  </si>
  <si>
    <t xml:space="preserve">Только за деньги раньше (волна 1) или объём (комбо, 2+ точки). Не за «просьбу» и не за «давно работаем».</t>
  </si>
  <si>
    <t xml:space="preserve">Вместо скидки</t>
  </si>
  <si>
    <t xml:space="preserve">Бонус-опция с низкой себестоимостью: выбор места, продвижение в соцсетях, Гастрогостиная, доп. аккредитации.</t>
  </si>
  <si>
    <t xml:space="preserve">Якорные резиденты (уровень A)</t>
  </si>
  <si>
    <t xml:space="preserve">Не скидка, а модель 60/40 или фикс + %: платят меньше заранее, больше — если хорошо торгуют.</t>
  </si>
  <si>
    <t xml:space="preserve">Не суммируются</t>
  </si>
  <si>
    <t xml:space="preserve">Ранняя скидка и комбо — одна скидка: комбо в январе = −10% всего, не 10% + 5%.</t>
  </si>
  <si>
    <t xml:space="preserve">Фиксация</t>
  </si>
  <si>
    <t xml:space="preserve">Каждая скидка — в CRM/реестре: кто, сколько, почему. Раз в месяц — сумма скидок против плана.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</si>
</sst>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;[RED]\-#,##0;\—"/>
    <numFmt numFmtId="167" formatCode="General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3A1E1F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1E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24"/>
    <col collapsed="false" customWidth="true" hidden="false" outlineLevel="0" max="14" min="14" style="0" width="48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  <c r="C3" s="4" t="n">
        <v>0.22</v>
      </c>
    </row>
    <row r="5" customFormat="false" ht="42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 customFormat="false" ht="23.85" hidden="false" customHeight="false" outlineLevel="0" collapsed="false">
      <c r="B6" s="6" t="s">
        <v>16</v>
      </c>
      <c r="C6" s="6" t="s">
        <v>17</v>
      </c>
      <c r="D6" s="6" t="s">
        <v>18</v>
      </c>
      <c r="E6" s="7" t="n">
        <v>25</v>
      </c>
      <c r="F6" s="8" t="n">
        <f aca="false">4515279-1000000</f>
        <v>3515279</v>
      </c>
      <c r="G6" s="9" t="n">
        <f aca="false">IF(OR(F6="",E6=""),"",F6/E6)</f>
        <v>140611.16</v>
      </c>
      <c r="H6" s="10" t="n">
        <v>200000</v>
      </c>
      <c r="I6" s="9" t="n">
        <f aca="false">IF(H6="","",H6/(1+$C$3))</f>
        <v>163934.426229508</v>
      </c>
      <c r="J6" s="9" t="n">
        <f aca="false">IF(OR(G6="",I6=""),"",I6-G6)</f>
        <v>23323.2662295082</v>
      </c>
      <c r="K6" s="9" t="n">
        <f aca="false">IF(J6="","",J6*E6)</f>
        <v>583081.655737705</v>
      </c>
      <c r="L6" s="11" t="n">
        <f aca="false">IF(OR(F6="",I6=""),"",IF(CEILING(F6/I6,1)&gt;E6,"не выходит",CEILING(F6/I6,1)))</f>
        <v>22</v>
      </c>
      <c r="M6" s="6" t="s">
        <v>19</v>
      </c>
      <c r="N6" s="6" t="s">
        <v>20</v>
      </c>
    </row>
    <row r="7" customFormat="false" ht="15" hidden="false" customHeight="false" outlineLevel="0" collapsed="false">
      <c r="B7" s="6" t="s">
        <v>16</v>
      </c>
      <c r="C7" s="6" t="s">
        <v>21</v>
      </c>
      <c r="D7" s="6" t="s">
        <v>22</v>
      </c>
      <c r="E7" s="7" t="n">
        <v>1</v>
      </c>
      <c r="F7" s="8" t="n">
        <f aca="false">G6*2</f>
        <v>281222.32</v>
      </c>
      <c r="G7" s="9" t="n">
        <f aca="false">IF(OR(F7="",E7=""),"",F7/E7)</f>
        <v>281222.32</v>
      </c>
      <c r="H7" s="10" t="n">
        <v>380000</v>
      </c>
      <c r="I7" s="9" t="n">
        <f aca="false">IF(H7="","",H7/(1+$C$3))</f>
        <v>311475.409836066</v>
      </c>
      <c r="J7" s="9" t="n">
        <f aca="false">IF(OR(G7="",I7=""),"",I7-G7)</f>
        <v>30253.0898360656</v>
      </c>
      <c r="K7" s="9" t="n">
        <f aca="false">IF(J7="","",J7*E7)</f>
        <v>30253.0898360656</v>
      </c>
      <c r="L7" s="11"/>
      <c r="M7" s="6" t="s">
        <v>23</v>
      </c>
      <c r="N7" s="6" t="s">
        <v>24</v>
      </c>
    </row>
    <row r="8" customFormat="false" ht="15" hidden="false" customHeight="false" outlineLevel="0" collapsed="false">
      <c r="B8" s="6" t="s">
        <v>16</v>
      </c>
      <c r="C8" s="6" t="s">
        <v>25</v>
      </c>
      <c r="D8" s="6" t="s">
        <v>26</v>
      </c>
      <c r="E8" s="7" t="n">
        <v>7</v>
      </c>
      <c r="F8" s="10"/>
      <c r="G8" s="9" t="str">
        <f aca="false">IF(OR(F8="",E8=""),"",F8/E8)</f>
        <v/>
      </c>
      <c r="H8" s="10" t="n">
        <v>200000</v>
      </c>
      <c r="I8" s="9" t="n">
        <f aca="false">IF(H8="","",H8/(1+$C$3))</f>
        <v>163934.426229508</v>
      </c>
      <c r="J8" s="9" t="str">
        <f aca="false">IF(OR(G8="",I8=""),"",I8-G8)</f>
        <v/>
      </c>
      <c r="K8" s="9" t="str">
        <f aca="false">IF(J8="","",J8*E8)</f>
        <v/>
      </c>
      <c r="L8" s="11"/>
      <c r="M8" s="6" t="s">
        <v>27</v>
      </c>
      <c r="N8" s="6" t="s">
        <v>28</v>
      </c>
    </row>
    <row r="9" customFormat="false" ht="15" hidden="false" customHeight="false" outlineLevel="0" collapsed="false">
      <c r="B9" s="6" t="s">
        <v>16</v>
      </c>
      <c r="C9" s="6" t="s">
        <v>29</v>
      </c>
      <c r="D9" s="6" t="s">
        <v>30</v>
      </c>
      <c r="E9" s="7" t="n">
        <v>5</v>
      </c>
      <c r="F9" s="10"/>
      <c r="G9" s="9" t="str">
        <f aca="false">IF(OR(F9="",E9=""),"",F9/E9)</f>
        <v/>
      </c>
      <c r="H9" s="10"/>
      <c r="I9" s="9" t="str">
        <f aca="false">IF(H9="","",H9/(1+$C$3))</f>
        <v/>
      </c>
      <c r="J9" s="9" t="str">
        <f aca="false">IF(OR(G9="",I9=""),"",I9-G9)</f>
        <v/>
      </c>
      <c r="K9" s="9" t="str">
        <f aca="false">IF(J9="","",J9*E9)</f>
        <v/>
      </c>
      <c r="L9" s="11"/>
      <c r="M9" s="6"/>
      <c r="N9" s="6" t="s">
        <v>31</v>
      </c>
    </row>
    <row r="10" customFormat="false" ht="15" hidden="false" customHeight="false" outlineLevel="0" collapsed="false">
      <c r="B10" s="6" t="s">
        <v>16</v>
      </c>
      <c r="C10" s="6" t="s">
        <v>32</v>
      </c>
      <c r="D10" s="6" t="s">
        <v>30</v>
      </c>
      <c r="E10" s="7" t="n">
        <v>4</v>
      </c>
      <c r="F10" s="10"/>
      <c r="G10" s="9" t="str">
        <f aca="false">IF(OR(F10="",E10=""),"",F10/E10)</f>
        <v/>
      </c>
      <c r="H10" s="10"/>
      <c r="I10" s="9" t="str">
        <f aca="false">IF(H10="","",H10/(1+$C$3))</f>
        <v/>
      </c>
      <c r="J10" s="9" t="str">
        <f aca="false">IF(OR(G10="",I10=""),"",I10-G10)</f>
        <v/>
      </c>
      <c r="K10" s="9" t="str">
        <f aca="false">IF(J10="","",J10*E10)</f>
        <v/>
      </c>
      <c r="L10" s="11"/>
      <c r="M10" s="6" t="s">
        <v>33</v>
      </c>
      <c r="N10" s="6" t="s">
        <v>31</v>
      </c>
    </row>
    <row r="11" customFormat="false" ht="15" hidden="false" customHeight="false" outlineLevel="0" collapsed="false">
      <c r="B11" s="6" t="s">
        <v>16</v>
      </c>
      <c r="C11" s="6" t="s">
        <v>34</v>
      </c>
      <c r="D11" s="6" t="s">
        <v>35</v>
      </c>
      <c r="E11" s="7" t="n">
        <v>4</v>
      </c>
      <c r="F11" s="10"/>
      <c r="G11" s="9" t="str">
        <f aca="false">IF(OR(F11="",E11=""),"",F11/E11)</f>
        <v/>
      </c>
      <c r="H11" s="10"/>
      <c r="I11" s="9" t="str">
        <f aca="false">IF(H11="","",H11/(1+$C$3))</f>
        <v/>
      </c>
      <c r="J11" s="9" t="str">
        <f aca="false">IF(OR(G11="",I11=""),"",I11-G11)</f>
        <v/>
      </c>
      <c r="K11" s="9" t="str">
        <f aca="false">IF(J11="","",J11*E11)</f>
        <v/>
      </c>
      <c r="L11" s="11"/>
      <c r="M11" s="6" t="s">
        <v>36</v>
      </c>
      <c r="N11" s="6" t="s">
        <v>31</v>
      </c>
    </row>
    <row r="12" customFormat="false" ht="23.85" hidden="false" customHeight="false" outlineLevel="0" collapsed="false">
      <c r="B12" s="6" t="s">
        <v>16</v>
      </c>
      <c r="C12" s="6" t="s">
        <v>37</v>
      </c>
      <c r="D12" s="6" t="s">
        <v>38</v>
      </c>
      <c r="E12" s="7" t="n">
        <v>10</v>
      </c>
      <c r="F12" s="10" t="n">
        <v>1930000</v>
      </c>
      <c r="G12" s="9" t="n">
        <f aca="false">IF(OR(F12="",E12=""),"",F12/E12)</f>
        <v>193000</v>
      </c>
      <c r="H12" s="10" t="n">
        <v>280000</v>
      </c>
      <c r="I12" s="9" t="n">
        <f aca="false">IF(H12="","",H12/(1+$C$3))</f>
        <v>229508.196721311</v>
      </c>
      <c r="J12" s="9" t="n">
        <f aca="false">IF(OR(G12="",I12=""),"",I12-G12)</f>
        <v>36508.1967213115</v>
      </c>
      <c r="K12" s="9" t="n">
        <f aca="false">IF(J12="","",J12*E12)</f>
        <v>365081.967213115</v>
      </c>
      <c r="L12" s="11" t="n">
        <f aca="false">IF(OR(F12="",I12=""),"",IF(CEILING(F12/I12,1)&gt;E12,"не выходит",CEILING(F12/I12,1)))</f>
        <v>9</v>
      </c>
      <c r="M12" s="6"/>
      <c r="N12" s="6" t="s">
        <v>39</v>
      </c>
    </row>
    <row r="13" customFormat="false" ht="23.85" hidden="false" customHeight="false" outlineLevel="0" collapsed="false">
      <c r="B13" s="6" t="s">
        <v>40</v>
      </c>
      <c r="C13" s="6" t="s">
        <v>41</v>
      </c>
      <c r="D13" s="6" t="s">
        <v>18</v>
      </c>
      <c r="E13" s="7" t="n">
        <v>15</v>
      </c>
      <c r="F13" s="10" t="n">
        <v>3839000</v>
      </c>
      <c r="G13" s="9" t="n">
        <f aca="false">IF(OR(F13="",E13=""),"",F13/E13)</f>
        <v>255933.333333333</v>
      </c>
      <c r="H13" s="10" t="n">
        <v>170000</v>
      </c>
      <c r="I13" s="9" t="n">
        <f aca="false">IF(H13="","",H13/(1+$C$3))</f>
        <v>139344.262295082</v>
      </c>
      <c r="J13" s="9" t="n">
        <f aca="false">IF(OR(G13="",I13=""),"",I13-G13)</f>
        <v>-116589.071038251</v>
      </c>
      <c r="K13" s="9" t="n">
        <f aca="false">IF(J13="","",J13*E13)</f>
        <v>-1748836.06557377</v>
      </c>
      <c r="L13" s="11" t="str">
        <f aca="false">IF(OR(F13="",I13=""),"",IF(CEILING(F13/I13,1)&gt;E13,"не выходит",CEILING(F13/I13,1)))</f>
        <v>не выходит</v>
      </c>
      <c r="M13" s="6" t="s">
        <v>42</v>
      </c>
      <c r="N13" s="6" t="s">
        <v>43</v>
      </c>
    </row>
    <row r="14" customFormat="false" ht="15" hidden="false" customHeight="false" outlineLevel="0" collapsed="false">
      <c r="B14" s="6" t="s">
        <v>40</v>
      </c>
      <c r="C14" s="6" t="s">
        <v>21</v>
      </c>
      <c r="D14" s="6" t="s">
        <v>22</v>
      </c>
      <c r="E14" s="7" t="n">
        <v>1</v>
      </c>
      <c r="F14" s="8" t="n">
        <f aca="false">G13*2</f>
        <v>511866.666666667</v>
      </c>
      <c r="G14" s="9" t="n">
        <f aca="false">IF(OR(F14="",E14=""),"",F14/E14)</f>
        <v>511866.666666667</v>
      </c>
      <c r="H14" s="10" t="n">
        <v>320000</v>
      </c>
      <c r="I14" s="9" t="n">
        <f aca="false">IF(H14="","",H14/(1+$C$3))</f>
        <v>262295.081967213</v>
      </c>
      <c r="J14" s="9" t="n">
        <f aca="false">IF(OR(G14="",I14=""),"",I14-G14)</f>
        <v>-249571.584699454</v>
      </c>
      <c r="K14" s="9" t="n">
        <f aca="false">IF(J14="","",J14*E14)</f>
        <v>-249571.584699454</v>
      </c>
      <c r="L14" s="11"/>
      <c r="M14" s="6" t="s">
        <v>44</v>
      </c>
      <c r="N14" s="6" t="s">
        <v>45</v>
      </c>
    </row>
    <row r="15" customFormat="false" ht="15" hidden="false" customHeight="false" outlineLevel="0" collapsed="false">
      <c r="B15" s="6" t="s">
        <v>40</v>
      </c>
      <c r="C15" s="6" t="s">
        <v>37</v>
      </c>
      <c r="D15" s="6" t="s">
        <v>38</v>
      </c>
      <c r="E15" s="7" t="n">
        <v>15</v>
      </c>
      <c r="F15" s="10" t="n">
        <v>2401000</v>
      </c>
      <c r="G15" s="9" t="n">
        <f aca="false">IF(OR(F15="",E15=""),"",F15/E15)</f>
        <v>160066.666666667</v>
      </c>
      <c r="H15" s="10" t="n">
        <v>230000</v>
      </c>
      <c r="I15" s="9" t="n">
        <f aca="false">IF(H15="","",H15/(1+$C$3))</f>
        <v>188524.590163934</v>
      </c>
      <c r="J15" s="9" t="n">
        <f aca="false">IF(OR(G15="",I15=""),"",I15-G15)</f>
        <v>28457.9234972678</v>
      </c>
      <c r="K15" s="9" t="n">
        <f aca="false">IF(J15="","",J15*E15)</f>
        <v>426868.852459017</v>
      </c>
      <c r="L15" s="11" t="n">
        <f aca="false">IF(OR(F15="",I15=""),"",IF(CEILING(F15/I15,1)&gt;E15,"не выходит",CEILING(F15/I15,1)))</f>
        <v>13</v>
      </c>
      <c r="M15" s="6" t="s">
        <v>46</v>
      </c>
      <c r="N15" s="6"/>
    </row>
    <row r="17" customFormat="false" ht="15" hidden="false" customHeight="false" outlineLevel="0" collapsed="false">
      <c r="B17" s="12" t="s">
        <v>47</v>
      </c>
      <c r="C17" s="13"/>
      <c r="D17" s="13"/>
      <c r="E17" s="13"/>
      <c r="F17" s="13"/>
      <c r="G17" s="13"/>
      <c r="H17" s="13"/>
      <c r="I17" s="13"/>
      <c r="J17" s="13"/>
      <c r="K17" s="14" t="n">
        <f aca="false">K6+K12</f>
        <v>948163.622950819</v>
      </c>
      <c r="L17" s="13"/>
      <c r="M17" s="13"/>
      <c r="N17" s="13"/>
    </row>
    <row r="18" customFormat="false" ht="15" hidden="false" customHeight="false" outlineLevel="0" collapsed="false">
      <c r="B18" s="12" t="s">
        <v>48</v>
      </c>
      <c r="C18" s="13"/>
      <c r="D18" s="13"/>
      <c r="E18" s="13"/>
      <c r="F18" s="13"/>
      <c r="G18" s="13"/>
      <c r="H18" s="13"/>
      <c r="I18" s="13"/>
      <c r="J18" s="13"/>
      <c r="K18" s="14" t="n">
        <f aca="false">K13+K15</f>
        <v>-1321967.21311475</v>
      </c>
      <c r="L18" s="13"/>
      <c r="M18" s="13"/>
      <c r="N18" s="13"/>
    </row>
    <row r="19" customFormat="false" ht="15" hidden="false" customHeight="false" outlineLevel="0" collapsed="false">
      <c r="B19" s="2" t="s">
        <v>49</v>
      </c>
    </row>
    <row r="21" customFormat="false" ht="15" hidden="false" customHeight="false" outlineLevel="0" collapsed="false">
      <c r="B21" s="15" t="s">
        <v>50</v>
      </c>
    </row>
    <row r="22" customFormat="false" ht="15" hidden="false" customHeight="false" outlineLevel="0" collapsed="false">
      <c r="B22" s="16" t="s">
        <v>51</v>
      </c>
      <c r="C22" s="17" t="n">
        <f aca="false">H6</f>
        <v>200000</v>
      </c>
    </row>
    <row r="23" customFormat="false" ht="15" hidden="false" customHeight="false" outlineLevel="0" collapsed="false">
      <c r="B23" s="16" t="s">
        <v>52</v>
      </c>
      <c r="C23" s="18" t="n">
        <v>800</v>
      </c>
      <c r="D23" s="2" t="s">
        <v>53</v>
      </c>
    </row>
    <row r="24" customFormat="false" ht="15" hidden="false" customHeight="false" outlineLevel="0" collapsed="false">
      <c r="B24" s="16" t="s">
        <v>54</v>
      </c>
      <c r="C24" s="19" t="n">
        <v>0.15</v>
      </c>
      <c r="D24" s="2" t="s">
        <v>55</v>
      </c>
    </row>
    <row r="25" customFormat="false" ht="15" hidden="false" customHeight="false" outlineLevel="0" collapsed="false">
      <c r="B25" s="16" t="s">
        <v>56</v>
      </c>
      <c r="C25" s="17" t="n">
        <f aca="false">C22/C24</f>
        <v>1333333.33333333</v>
      </c>
    </row>
    <row r="26" customFormat="false" ht="15" hidden="false" customHeight="false" outlineLevel="0" collapsed="false">
      <c r="B26" s="16" t="s">
        <v>57</v>
      </c>
      <c r="C26" s="20" t="n">
        <f aca="false">C25/C23</f>
        <v>1666.66666666667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46"/>
  </cols>
  <sheetData>
    <row r="1" customFormat="false" ht="16.15" hidden="false" customHeight="false" outlineLevel="0" collapsed="false">
      <c r="B1" s="1" t="s">
        <v>58</v>
      </c>
    </row>
    <row r="2" customFormat="false" ht="15" hidden="false" customHeight="false" outlineLevel="0" collapsed="false">
      <c r="B2" s="2" t="s">
        <v>59</v>
      </c>
    </row>
    <row r="4" customFormat="false" ht="36" hidden="false" customHeight="true" outlineLevel="0" collapsed="false">
      <c r="B4" s="5" t="s">
        <v>3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15</v>
      </c>
    </row>
    <row r="5" customFormat="false" ht="15" hidden="false" customHeight="false" outlineLevel="0" collapsed="false">
      <c r="B5" s="6" t="s">
        <v>16</v>
      </c>
      <c r="C5" s="6" t="s">
        <v>68</v>
      </c>
      <c r="D5" s="6" t="s">
        <v>69</v>
      </c>
      <c r="E5" s="21" t="n">
        <f aca="false">'Фудкорты 2027'!E6</f>
        <v>25</v>
      </c>
      <c r="F5" s="22" t="n">
        <f aca="false">'Фудкорты 2027'!H6</f>
        <v>200000</v>
      </c>
      <c r="G5" s="23" t="n">
        <f aca="false">IF(OR(E5="",F5=""),0,E5*F5)</f>
        <v>5000000</v>
      </c>
      <c r="H5" s="23" t="n">
        <f aca="false">G5/(1+'Фудкорты 2027'!$C$3)</f>
        <v>4098360.65573771</v>
      </c>
      <c r="I5" s="22" t="n">
        <f aca="false">'Фудкорты 2027'!F6</f>
        <v>3515279</v>
      </c>
      <c r="J5" s="23" t="n">
        <f aca="false">IF(I5="","",H5-I5)</f>
        <v>583081.655737705</v>
      </c>
      <c r="K5" s="6"/>
    </row>
    <row r="6" customFormat="false" ht="15" hidden="false" customHeight="false" outlineLevel="0" collapsed="false">
      <c r="B6" s="6" t="s">
        <v>16</v>
      </c>
      <c r="C6" s="6" t="s">
        <v>70</v>
      </c>
      <c r="D6" s="6" t="s">
        <v>69</v>
      </c>
      <c r="E6" s="24" t="n">
        <v>7</v>
      </c>
      <c r="F6" s="22" t="n">
        <f aca="false">'Фудкорты 2027'!H8</f>
        <v>200000</v>
      </c>
      <c r="G6" s="23" t="n">
        <f aca="false">IF(OR(E6="",F6=""),0,E6*F6)</f>
        <v>1400000</v>
      </c>
      <c r="H6" s="23" t="n">
        <f aca="false">G6/(1+'Фудкорты 2027'!$C$3)</f>
        <v>1147540.98360656</v>
      </c>
      <c r="I6" s="23"/>
      <c r="J6" s="23" t="str">
        <f aca="false">IF(I6="","",H6-I6)</f>
        <v/>
      </c>
      <c r="K6" s="6" t="s">
        <v>71</v>
      </c>
    </row>
    <row r="7" customFormat="false" ht="15" hidden="false" customHeight="false" outlineLevel="0" collapsed="false">
      <c r="B7" s="6" t="s">
        <v>16</v>
      </c>
      <c r="C7" s="6" t="s">
        <v>72</v>
      </c>
      <c r="D7" s="6" t="s">
        <v>69</v>
      </c>
      <c r="E7" s="24" t="n">
        <v>5</v>
      </c>
      <c r="F7" s="10" t="n">
        <v>200000</v>
      </c>
      <c r="G7" s="23" t="n">
        <f aca="false">IF(OR(E7="",F7=""),0,E7*F7)</f>
        <v>1000000</v>
      </c>
      <c r="H7" s="23" t="n">
        <f aca="false">G7/(1+'Фудкорты 2027'!$C$3)</f>
        <v>819672.131147541</v>
      </c>
      <c r="I7" s="23"/>
      <c r="J7" s="23" t="str">
        <f aca="false">IF(I7="","",H7-I7)</f>
        <v/>
      </c>
      <c r="K7" s="6" t="s">
        <v>73</v>
      </c>
    </row>
    <row r="8" customFormat="false" ht="15" hidden="false" customHeight="false" outlineLevel="0" collapsed="false">
      <c r="B8" s="6" t="s">
        <v>16</v>
      </c>
      <c r="C8" s="6" t="s">
        <v>74</v>
      </c>
      <c r="D8" s="6" t="s">
        <v>69</v>
      </c>
      <c r="E8" s="21" t="n">
        <f aca="false">'Фудкорты 2027'!E12</f>
        <v>10</v>
      </c>
      <c r="F8" s="22" t="n">
        <f aca="false">'Фудкорты 2027'!H12</f>
        <v>280000</v>
      </c>
      <c r="G8" s="23" t="n">
        <f aca="false">IF(OR(E8="",F8=""),0,E8*F8)</f>
        <v>2800000</v>
      </c>
      <c r="H8" s="23" t="n">
        <f aca="false">G8/(1+'Фудкорты 2027'!$C$3)</f>
        <v>2295081.96721311</v>
      </c>
      <c r="I8" s="22" t="n">
        <f aca="false">'Фудкорты 2027'!F12</f>
        <v>1930000</v>
      </c>
      <c r="J8" s="23" t="n">
        <f aca="false">IF(I8="","",H8-I8)</f>
        <v>365081.967213115</v>
      </c>
      <c r="K8" s="6" t="s">
        <v>75</v>
      </c>
    </row>
    <row r="9" customFormat="false" ht="15" hidden="false" customHeight="false" outlineLevel="0" collapsed="false">
      <c r="B9" s="6" t="s">
        <v>16</v>
      </c>
      <c r="C9" s="6" t="s">
        <v>76</v>
      </c>
      <c r="D9" s="6" t="s">
        <v>77</v>
      </c>
      <c r="E9" s="24" t="n">
        <v>1</v>
      </c>
      <c r="F9" s="10" t="n">
        <v>450000</v>
      </c>
      <c r="G9" s="23" t="n">
        <f aca="false">IF(OR(E9="",F9=""),0,E9*F9)</f>
        <v>450000</v>
      </c>
      <c r="H9" s="23" t="n">
        <f aca="false">G9/(1+'Фудкорты 2027'!$C$3)</f>
        <v>368852.459016393</v>
      </c>
      <c r="I9" s="23"/>
      <c r="J9" s="23" t="str">
        <f aca="false">IF(I9="","",H9-I9)</f>
        <v/>
      </c>
      <c r="K9" s="6"/>
    </row>
    <row r="10" customFormat="false" ht="23.85" hidden="false" customHeight="false" outlineLevel="0" collapsed="false">
      <c r="B10" s="6" t="s">
        <v>40</v>
      </c>
      <c r="C10" s="6" t="s">
        <v>68</v>
      </c>
      <c r="D10" s="6" t="s">
        <v>69</v>
      </c>
      <c r="E10" s="21" t="n">
        <f aca="false">'Фудкорты 2027'!E13</f>
        <v>15</v>
      </c>
      <c r="F10" s="22" t="n">
        <f aca="false">'Фудкорты 2027'!H13</f>
        <v>170000</v>
      </c>
      <c r="G10" s="23" t="n">
        <f aca="false">IF(OR(E10="",F10=""),0,E10*F10)</f>
        <v>2550000</v>
      </c>
      <c r="H10" s="23" t="n">
        <f aca="false">G10/(1+'Фудкорты 2027'!$C$3)</f>
        <v>2090163.93442623</v>
      </c>
      <c r="I10" s="22" t="n">
        <f aca="false">'Фудкорты 2027'!F13</f>
        <v>3839000</v>
      </c>
      <c r="J10" s="23" t="n">
        <f aca="false">IF(I10="","",H10-I10)</f>
        <v>-1748836.06557377</v>
      </c>
      <c r="K10" s="6" t="s">
        <v>78</v>
      </c>
    </row>
    <row r="11" customFormat="false" ht="15" hidden="false" customHeight="false" outlineLevel="0" collapsed="false">
      <c r="B11" s="6" t="s">
        <v>40</v>
      </c>
      <c r="C11" s="6" t="s">
        <v>74</v>
      </c>
      <c r="D11" s="6" t="s">
        <v>69</v>
      </c>
      <c r="E11" s="21" t="n">
        <f aca="false">'Фудкорты 2027'!E15</f>
        <v>15</v>
      </c>
      <c r="F11" s="22" t="n">
        <f aca="false">'Фудкорты 2027'!H15</f>
        <v>230000</v>
      </c>
      <c r="G11" s="23" t="n">
        <f aca="false">IF(OR(E11="",F11=""),0,E11*F11)</f>
        <v>3450000</v>
      </c>
      <c r="H11" s="23" t="n">
        <f aca="false">G11/(1+'Фудкорты 2027'!$C$3)</f>
        <v>2827868.85245902</v>
      </c>
      <c r="I11" s="22" t="n">
        <f aca="false">'Фудкорты 2027'!F15</f>
        <v>2401000</v>
      </c>
      <c r="J11" s="23" t="n">
        <f aca="false">IF(I11="","",H11-I11)</f>
        <v>426868.852459016</v>
      </c>
      <c r="K11" s="6"/>
    </row>
    <row r="12" customFormat="false" ht="15" hidden="false" customHeight="false" outlineLevel="0" collapsed="false">
      <c r="B12" s="6" t="s">
        <v>40</v>
      </c>
      <c r="C12" s="6" t="s">
        <v>34</v>
      </c>
      <c r="D12" s="6" t="s">
        <v>69</v>
      </c>
      <c r="E12" s="24" t="n">
        <v>3</v>
      </c>
      <c r="F12" s="10" t="n">
        <v>70000</v>
      </c>
      <c r="G12" s="23" t="n">
        <f aca="false">IF(OR(E12="",F12=""),0,E12*F12)</f>
        <v>210000</v>
      </c>
      <c r="H12" s="23" t="n">
        <f aca="false">G12/(1+'Фудкорты 2027'!$C$3)</f>
        <v>172131.147540984</v>
      </c>
      <c r="I12" s="23"/>
      <c r="J12" s="23" t="str">
        <f aca="false">IF(I12="","",H12-I12)</f>
        <v/>
      </c>
      <c r="K12" s="6"/>
    </row>
    <row r="13" customFormat="false" ht="15" hidden="false" customHeight="false" outlineLevel="0" collapsed="false">
      <c r="B13" s="6" t="s">
        <v>79</v>
      </c>
      <c r="C13" s="6" t="s">
        <v>80</v>
      </c>
      <c r="D13" s="6" t="s">
        <v>77</v>
      </c>
      <c r="E13" s="24" t="n">
        <v>1</v>
      </c>
      <c r="F13" s="10" t="n">
        <v>1200000</v>
      </c>
      <c r="G13" s="23" t="n">
        <f aca="false">IF(OR(E13="",F13=""),0,E13*F13)</f>
        <v>1200000</v>
      </c>
      <c r="H13" s="23" t="n">
        <f aca="false">G13/(1+'Фудкорты 2027'!$C$3)</f>
        <v>983606.557377049</v>
      </c>
      <c r="I13" s="23"/>
      <c r="J13" s="23" t="str">
        <f aca="false">IF(I13="","",H13-I13)</f>
        <v/>
      </c>
      <c r="K13" s="6" t="s">
        <v>81</v>
      </c>
    </row>
    <row r="14" customFormat="false" ht="23.85" hidden="false" customHeight="false" outlineLevel="0" collapsed="false">
      <c r="B14" s="6" t="s">
        <v>79</v>
      </c>
      <c r="C14" s="6" t="s">
        <v>82</v>
      </c>
      <c r="D14" s="6" t="s">
        <v>83</v>
      </c>
      <c r="E14" s="25"/>
      <c r="F14" s="23"/>
      <c r="G14" s="23" t="n">
        <f aca="false">IF(G23="",0,G23*(1+'Фудкорты 2027'!$C$3))</f>
        <v>0</v>
      </c>
      <c r="H14" s="23" t="n">
        <f aca="false">G14/(1+'Фудкорты 2027'!$C$3)</f>
        <v>0</v>
      </c>
      <c r="I14" s="23"/>
      <c r="J14" s="23" t="str">
        <f aca="false">IF(I14="","",H14-I14)</f>
        <v/>
      </c>
      <c r="K14" s="6" t="s">
        <v>84</v>
      </c>
    </row>
    <row r="15" customFormat="false" ht="15" hidden="false" customHeight="false" outlineLevel="0" collapsed="false">
      <c r="B15" s="12" t="s">
        <v>85</v>
      </c>
      <c r="C15" s="13"/>
      <c r="D15" s="13"/>
      <c r="E15" s="13"/>
      <c r="F15" s="13"/>
      <c r="G15" s="14" t="n">
        <f aca="false">SUM(G5:G14)</f>
        <v>18060000</v>
      </c>
      <c r="H15" s="14" t="n">
        <f aca="false">SUM(H5:H14)</f>
        <v>14803278.6885246</v>
      </c>
      <c r="I15" s="14" t="n">
        <f aca="false">SUM(I5:I14)</f>
        <v>11685279</v>
      </c>
      <c r="J15" s="14" t="n">
        <f aca="false">SUMIF(I5:I14,"&lt;&gt;",H5:H14)-SUM(I5:I14)</f>
        <v>-373803.590163935</v>
      </c>
      <c r="K15" s="26" t="s">
        <v>86</v>
      </c>
    </row>
    <row r="18" customFormat="false" ht="15" hidden="false" customHeight="false" outlineLevel="0" collapsed="false">
      <c r="B18" s="15" t="s">
        <v>87</v>
      </c>
    </row>
    <row r="19" customFormat="false" ht="36" hidden="false" customHeight="true" outlineLevel="0" collapsed="false">
      <c r="B19" s="5"/>
      <c r="C19" s="5" t="s">
        <v>88</v>
      </c>
      <c r="D19" s="5"/>
      <c r="E19" s="5"/>
      <c r="F19" s="5" t="s">
        <v>89</v>
      </c>
      <c r="G19" s="5" t="s">
        <v>90</v>
      </c>
    </row>
    <row r="20" customFormat="false" ht="15" hidden="false" customHeight="false" outlineLevel="0" collapsed="false">
      <c r="B20" s="27"/>
      <c r="C20" s="16" t="s">
        <v>91</v>
      </c>
      <c r="D20" s="27"/>
      <c r="E20" s="27"/>
      <c r="F20" s="28"/>
      <c r="G20" s="28"/>
      <c r="H20" s="2" t="s">
        <v>92</v>
      </c>
    </row>
    <row r="21" customFormat="false" ht="15" hidden="false" customHeight="false" outlineLevel="0" collapsed="false">
      <c r="B21" s="27"/>
      <c r="C21" s="16" t="s">
        <v>93</v>
      </c>
      <c r="D21" s="27"/>
      <c r="E21" s="27"/>
      <c r="F21" s="19" t="n">
        <v>0.35</v>
      </c>
      <c r="G21" s="19" t="n">
        <v>0.3</v>
      </c>
      <c r="H21" s="2" t="s">
        <v>94</v>
      </c>
    </row>
    <row r="22" customFormat="false" ht="15" hidden="false" customHeight="false" outlineLevel="0" collapsed="false">
      <c r="B22" s="27"/>
      <c r="C22" s="16" t="s">
        <v>95</v>
      </c>
      <c r="D22" s="27"/>
      <c r="E22" s="27"/>
      <c r="F22" s="19" t="n">
        <v>0.6</v>
      </c>
      <c r="G22" s="19" t="n">
        <v>0.6</v>
      </c>
    </row>
    <row r="23" customFormat="false" ht="15" hidden="false" customHeight="false" outlineLevel="0" collapsed="false">
      <c r="B23" s="27"/>
      <c r="C23" s="16" t="s">
        <v>96</v>
      </c>
      <c r="D23" s="27"/>
      <c r="E23" s="27"/>
      <c r="F23" s="29" t="str">
        <f aca="false">IF(F20="","",F20*(1-F21)*F22)</f>
        <v/>
      </c>
      <c r="G23" s="29" t="str">
        <f aca="false">IF(G20="","",G20*(1-G21)*G22)</f>
        <v/>
      </c>
    </row>
    <row r="24" customFormat="false" ht="15" hidden="false" customHeight="false" outlineLevel="0" collapsed="false">
      <c r="B24" s="27"/>
      <c r="C24" s="16" t="s">
        <v>97</v>
      </c>
      <c r="D24" s="27"/>
      <c r="E24" s="27"/>
      <c r="F24" s="17" t="n">
        <f aca="false">F13</f>
        <v>1200000</v>
      </c>
      <c r="G24" s="17"/>
    </row>
    <row r="25" customFormat="false" ht="15" hidden="false" customHeight="false" outlineLevel="0" collapsed="false">
      <c r="B25" s="27"/>
      <c r="C25" s="16" t="s">
        <v>98</v>
      </c>
      <c r="D25" s="27"/>
      <c r="E25" s="27"/>
      <c r="F25" s="17" t="n">
        <f aca="false">F24/((1-F21)*F22)</f>
        <v>3076923.07692308</v>
      </c>
      <c r="G25" s="17"/>
    </row>
    <row r="28" customFormat="false" ht="15" hidden="false" customHeight="false" outlineLevel="0" collapsed="false">
      <c r="B28" s="15" t="s">
        <v>99</v>
      </c>
    </row>
    <row r="29" customFormat="false" ht="15" hidden="false" customHeight="false" outlineLevel="0" collapsed="false">
      <c r="B29" s="0" t="s">
        <v>100</v>
      </c>
      <c r="F29" s="4" t="n">
        <v>0.1</v>
      </c>
    </row>
    <row r="30" customFormat="false" ht="15" hidden="false" customHeight="false" outlineLevel="0" collapsed="false">
      <c r="B30" s="0" t="s">
        <v>101</v>
      </c>
      <c r="F30" s="4" t="n">
        <v>0.05</v>
      </c>
    </row>
    <row r="32" customFormat="false" ht="36" hidden="false" customHeight="true" outlineLevel="0" collapsed="false">
      <c r="B32" s="5" t="s">
        <v>102</v>
      </c>
      <c r="C32" s="5" t="s">
        <v>103</v>
      </c>
      <c r="D32" s="5" t="s">
        <v>104</v>
      </c>
      <c r="E32" s="5" t="s">
        <v>105</v>
      </c>
      <c r="F32" s="5" t="s">
        <v>106</v>
      </c>
      <c r="G32" s="5" t="s">
        <v>107</v>
      </c>
      <c r="H32" s="5" t="s">
        <v>108</v>
      </c>
      <c r="I32" s="5" t="s">
        <v>109</v>
      </c>
    </row>
    <row r="33" customFormat="false" ht="15" hidden="false" customHeight="false" outlineLevel="0" collapsed="false">
      <c r="B33" s="30" t="s">
        <v>110</v>
      </c>
      <c r="C33" s="30" t="s">
        <v>111</v>
      </c>
      <c r="D33" s="22" t="n">
        <f aca="false">'Фудкорты 2027'!H6+'Фудкорты 2027'!H13</f>
        <v>370000</v>
      </c>
      <c r="E33" s="24" t="n">
        <v>8</v>
      </c>
      <c r="F33" s="23" t="n">
        <f aca="false">ROUND(D33*(1-$F$29)/5000,0)*5000</f>
        <v>335000</v>
      </c>
      <c r="G33" s="22" t="n">
        <f aca="false">('Фудкорты 2027'!G6+'Фудкорты 2027'!G13)*(1+'Фудкорты 2027'!$C$3)</f>
        <v>483784.281866667</v>
      </c>
      <c r="H33" s="31" t="str">
        <f aca="false">IF(F33&gt;=G33,"ок","ниже с/с")</f>
        <v>ниже с/с</v>
      </c>
      <c r="I33" s="23" t="n">
        <f aca="false">(D33-F33)*E33</f>
        <v>280000</v>
      </c>
    </row>
    <row r="34" customFormat="false" ht="15" hidden="false" customHeight="false" outlineLevel="0" collapsed="false">
      <c r="B34" s="30" t="s">
        <v>110</v>
      </c>
      <c r="C34" s="30" t="s">
        <v>112</v>
      </c>
      <c r="D34" s="22" t="n">
        <f aca="false">'Фудкорты 2027'!H12+'Фудкорты 2027'!H13</f>
        <v>450000</v>
      </c>
      <c r="E34" s="24" t="n">
        <v>3</v>
      </c>
      <c r="F34" s="23" t="n">
        <f aca="false">ROUND(D34*(1-$F$29)/5000,0)*5000</f>
        <v>405000</v>
      </c>
      <c r="G34" s="22" t="n">
        <f aca="false">('Фудкорты 2027'!G12+'Фудкорты 2027'!G13)*(1+'Фудкорты 2027'!$C$3)</f>
        <v>547698.666666667</v>
      </c>
      <c r="H34" s="31" t="str">
        <f aca="false">IF(F34&gt;=G34,"ок","ниже с/с")</f>
        <v>ниже с/с</v>
      </c>
      <c r="I34" s="23" t="n">
        <f aca="false">(D34-F34)*E34</f>
        <v>135000</v>
      </c>
    </row>
    <row r="35" customFormat="false" ht="15" hidden="false" customHeight="false" outlineLevel="0" collapsed="false">
      <c r="B35" s="30" t="s">
        <v>110</v>
      </c>
      <c r="C35" s="30" t="s">
        <v>113</v>
      </c>
      <c r="D35" s="22" t="n">
        <f aca="false">'Фудкорты 2027'!H6+'Фудкорты 2027'!H15</f>
        <v>430000</v>
      </c>
      <c r="E35" s="24" t="n">
        <v>3</v>
      </c>
      <c r="F35" s="23" t="n">
        <f aca="false">ROUND(D35*(1-$F$29)/5000,0)*5000</f>
        <v>385000</v>
      </c>
      <c r="G35" s="22" t="n">
        <f aca="false">('Фудкорты 2027'!G6+'Фудкорты 2027'!G15)*(1+'Фудкорты 2027'!$C$3)</f>
        <v>366826.948533333</v>
      </c>
      <c r="H35" s="31" t="str">
        <f aca="false">IF(F35&gt;=G35,"ок","ниже с/с")</f>
        <v>ок</v>
      </c>
      <c r="I35" s="23" t="n">
        <f aca="false">(D35-F35)*E35</f>
        <v>135000</v>
      </c>
    </row>
    <row r="36" customFormat="false" ht="15" hidden="false" customHeight="false" outlineLevel="0" collapsed="false">
      <c r="B36" s="30" t="s">
        <v>114</v>
      </c>
      <c r="C36" s="30" t="s">
        <v>111</v>
      </c>
      <c r="D36" s="22" t="n">
        <f aca="false">'Фудкорты 2027'!H6+'Фудкорты 2027'!H13</f>
        <v>370000</v>
      </c>
      <c r="E36" s="24" t="n">
        <v>4</v>
      </c>
      <c r="F36" s="23" t="n">
        <f aca="false">ROUND(D36*(1-$F$30)/5000,0)*5000</f>
        <v>350000</v>
      </c>
      <c r="G36" s="22" t="n">
        <f aca="false">('Фудкорты 2027'!G6+'Фудкорты 2027'!G13)*(1+'Фудкорты 2027'!$C$3)</f>
        <v>483784.281866667</v>
      </c>
      <c r="H36" s="31" t="str">
        <f aca="false">IF(F36&gt;=G36,"ок","ниже с/с")</f>
        <v>ниже с/с</v>
      </c>
      <c r="I36" s="23" t="n">
        <f aca="false">(D36-F36)*E36</f>
        <v>80000</v>
      </c>
    </row>
    <row r="37" customFormat="false" ht="15" hidden="false" customHeight="false" outlineLevel="0" collapsed="false">
      <c r="B37" s="30" t="s">
        <v>114</v>
      </c>
      <c r="C37" s="30" t="s">
        <v>112</v>
      </c>
      <c r="D37" s="22" t="n">
        <f aca="false">'Фудкорты 2027'!H12+'Фудкорты 2027'!H13</f>
        <v>450000</v>
      </c>
      <c r="E37" s="24" t="n">
        <v>2</v>
      </c>
      <c r="F37" s="23" t="n">
        <f aca="false">ROUND(D37*(1-$F$30)/5000,0)*5000</f>
        <v>430000</v>
      </c>
      <c r="G37" s="22" t="n">
        <f aca="false">('Фудкорты 2027'!G12+'Фудкорты 2027'!G13)*(1+'Фудкорты 2027'!$C$3)</f>
        <v>547698.666666667</v>
      </c>
      <c r="H37" s="31" t="str">
        <f aca="false">IF(F37&gt;=G37,"ок","ниже с/с")</f>
        <v>ниже с/с</v>
      </c>
      <c r="I37" s="23" t="n">
        <f aca="false">(D37-F37)*E37</f>
        <v>40000</v>
      </c>
    </row>
    <row r="38" customFormat="false" ht="15" hidden="false" customHeight="false" outlineLevel="0" collapsed="false">
      <c r="B38" s="30" t="s">
        <v>114</v>
      </c>
      <c r="C38" s="30" t="s">
        <v>113</v>
      </c>
      <c r="D38" s="22" t="n">
        <f aca="false">'Фудкорты 2027'!H6+'Фудкорты 2027'!H15</f>
        <v>430000</v>
      </c>
      <c r="E38" s="24" t="n">
        <v>2</v>
      </c>
      <c r="F38" s="23" t="n">
        <f aca="false">ROUND(D38*(1-$F$30)/5000,0)*5000</f>
        <v>410000</v>
      </c>
      <c r="G38" s="22" t="n">
        <f aca="false">('Фудкорты 2027'!G6+'Фудкорты 2027'!G15)*(1+'Фудкорты 2027'!$C$3)</f>
        <v>366826.948533333</v>
      </c>
      <c r="H38" s="31" t="str">
        <f aca="false">IF(F38&gt;=G38,"ок","ниже с/с")</f>
        <v>ок</v>
      </c>
      <c r="I38" s="23" t="n">
        <f aca="false">(D38-F38)*E38</f>
        <v>40000</v>
      </c>
    </row>
    <row r="39" customFormat="false" ht="15" hidden="false" customHeight="false" outlineLevel="0" collapsed="false">
      <c r="B39" s="32" t="s">
        <v>115</v>
      </c>
      <c r="C39" s="27"/>
      <c r="D39" s="27"/>
      <c r="E39" s="27"/>
      <c r="F39" s="27"/>
      <c r="G39" s="27"/>
      <c r="H39" s="27"/>
      <c r="I39" s="29" t="n">
        <f aca="false">SUM(I33:I38)</f>
        <v>710000</v>
      </c>
    </row>
    <row r="40" customFormat="false" ht="15" hidden="false" customHeight="false" outlineLevel="0" collapsed="false">
      <c r="B40" s="32" t="s">
        <v>116</v>
      </c>
      <c r="C40" s="27"/>
      <c r="D40" s="27"/>
      <c r="E40" s="27"/>
      <c r="F40" s="27"/>
      <c r="G40" s="27"/>
      <c r="H40" s="27"/>
      <c r="I40" s="29" t="n">
        <f aca="false">G15-I39</f>
        <v>17350000</v>
      </c>
    </row>
    <row r="41" customFormat="false" ht="15" hidden="false" customHeight="false" outlineLevel="0" collapsed="false">
      <c r="B41" s="2" t="s">
        <v>117</v>
      </c>
    </row>
    <row r="42" customFormat="false" ht="15" hidden="false" customHeight="false" outlineLevel="0" collapsed="false">
      <c r="B42" s="2" t="s">
        <v>118</v>
      </c>
    </row>
    <row r="45" customFormat="false" ht="15" hidden="false" customHeight="false" outlineLevel="0" collapsed="false">
      <c r="B45" s="15" t="s">
        <v>119</v>
      </c>
    </row>
    <row r="46" customFormat="false" ht="36" hidden="false" customHeight="true" outlineLevel="0" collapsed="false">
      <c r="B46" s="5" t="s">
        <v>120</v>
      </c>
      <c r="C46" s="5"/>
      <c r="D46" s="5"/>
      <c r="E46" s="5" t="s">
        <v>121</v>
      </c>
      <c r="F46" s="5" t="s">
        <v>122</v>
      </c>
    </row>
    <row r="47" customFormat="false" ht="15" hidden="false" customHeight="false" outlineLevel="0" collapsed="false">
      <c r="B47" s="27" t="s">
        <v>123</v>
      </c>
      <c r="C47" s="27"/>
      <c r="D47" s="27"/>
      <c r="E47" s="19" t="n">
        <v>0.3</v>
      </c>
      <c r="F47" s="17" t="n">
        <f aca="false">E47*$I$40</f>
        <v>5205000</v>
      </c>
    </row>
    <row r="48" customFormat="false" ht="15" hidden="false" customHeight="false" outlineLevel="0" collapsed="false">
      <c r="B48" s="27" t="s">
        <v>124</v>
      </c>
      <c r="C48" s="27"/>
      <c r="D48" s="27"/>
      <c r="E48" s="19" t="n">
        <v>0.5</v>
      </c>
      <c r="F48" s="17" t="n">
        <f aca="false">E48*$I$40</f>
        <v>8675000</v>
      </c>
    </row>
    <row r="49" customFormat="false" ht="15" hidden="false" customHeight="false" outlineLevel="0" collapsed="false">
      <c r="B49" s="27" t="s">
        <v>125</v>
      </c>
      <c r="C49" s="27"/>
      <c r="D49" s="27"/>
      <c r="E49" s="19" t="n">
        <v>0.7</v>
      </c>
      <c r="F49" s="17" t="n">
        <f aca="false">E49*$I$40</f>
        <v>12145000</v>
      </c>
    </row>
    <row r="50" customFormat="false" ht="15" hidden="false" customHeight="false" outlineLevel="0" collapsed="false">
      <c r="B50" s="27" t="s">
        <v>126</v>
      </c>
      <c r="C50" s="27"/>
      <c r="D50" s="27"/>
      <c r="E50" s="19" t="n">
        <v>0.85</v>
      </c>
      <c r="F50" s="17" t="n">
        <f aca="false">E50*$I$40</f>
        <v>14747500</v>
      </c>
    </row>
    <row r="51" customFormat="false" ht="15" hidden="false" customHeight="false" outlineLevel="0" collapsed="false">
      <c r="B51" s="27" t="s">
        <v>127</v>
      </c>
      <c r="C51" s="27"/>
      <c r="D51" s="27"/>
      <c r="E51" s="19" t="n">
        <v>1</v>
      </c>
      <c r="F51" s="17" t="n">
        <f aca="false">E51*$I$40</f>
        <v>17350000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44"/>
  </cols>
  <sheetData>
    <row r="1" customFormat="false" ht="16.15" hidden="false" customHeight="false" outlineLevel="0" collapsed="false">
      <c r="B1" s="1" t="s">
        <v>128</v>
      </c>
    </row>
    <row r="2" customFormat="false" ht="15" hidden="false" customHeight="false" outlineLevel="0" collapsed="false">
      <c r="B2" s="2" t="s">
        <v>129</v>
      </c>
    </row>
    <row r="4" customFormat="false" ht="48" hidden="false" customHeight="true" outlineLevel="0" collapsed="false">
      <c r="B4" s="5" t="s">
        <v>60</v>
      </c>
      <c r="C4" s="5" t="s">
        <v>3</v>
      </c>
      <c r="D4" s="5" t="s">
        <v>130</v>
      </c>
      <c r="E4" s="5" t="s">
        <v>131</v>
      </c>
      <c r="F4" s="5" t="s">
        <v>132</v>
      </c>
      <c r="G4" s="5" t="s">
        <v>133</v>
      </c>
      <c r="H4" s="5" t="s">
        <v>134</v>
      </c>
      <c r="I4" s="5" t="s">
        <v>135</v>
      </c>
      <c r="J4" s="5" t="s">
        <v>136</v>
      </c>
      <c r="K4" s="5" t="s">
        <v>137</v>
      </c>
    </row>
    <row r="5" customFormat="false" ht="33.75" hidden="false" customHeight="true" outlineLevel="0" collapsed="false">
      <c r="B5" s="6" t="s">
        <v>138</v>
      </c>
      <c r="C5" s="6" t="s">
        <v>139</v>
      </c>
      <c r="D5" s="11" t="s">
        <v>140</v>
      </c>
      <c r="E5" s="11" t="s">
        <v>141</v>
      </c>
      <c r="F5" s="11" t="s">
        <v>141</v>
      </c>
      <c r="G5" s="11" t="s">
        <v>141</v>
      </c>
      <c r="H5" s="11" t="s">
        <v>141</v>
      </c>
      <c r="I5" s="33" t="s">
        <v>141</v>
      </c>
      <c r="J5" s="11" t="s">
        <v>142</v>
      </c>
      <c r="K5" s="6" t="s">
        <v>143</v>
      </c>
    </row>
    <row r="6" customFormat="false" ht="33.75" hidden="false" customHeight="true" outlineLevel="0" collapsed="false">
      <c r="B6" s="6" t="s">
        <v>144</v>
      </c>
      <c r="C6" s="6" t="s">
        <v>139</v>
      </c>
      <c r="D6" s="11" t="s">
        <v>145</v>
      </c>
      <c r="E6" s="11" t="s">
        <v>146</v>
      </c>
      <c r="F6" s="11" t="s">
        <v>141</v>
      </c>
      <c r="G6" s="11" t="s">
        <v>141</v>
      </c>
      <c r="H6" s="11" t="s">
        <v>141</v>
      </c>
      <c r="I6" s="33" t="s">
        <v>141</v>
      </c>
      <c r="J6" s="11" t="s">
        <v>147</v>
      </c>
      <c r="K6" s="6" t="s">
        <v>143</v>
      </c>
    </row>
    <row r="7" customFormat="false" ht="33.75" hidden="false" customHeight="true" outlineLevel="0" collapsed="false">
      <c r="B7" s="6" t="s">
        <v>148</v>
      </c>
      <c r="C7" s="6" t="s">
        <v>139</v>
      </c>
      <c r="D7" s="11" t="s">
        <v>149</v>
      </c>
      <c r="E7" s="11" t="s">
        <v>141</v>
      </c>
      <c r="F7" s="11" t="s">
        <v>141</v>
      </c>
      <c r="G7" s="11" t="s">
        <v>141</v>
      </c>
      <c r="H7" s="11" t="s">
        <v>141</v>
      </c>
      <c r="I7" s="33" t="s">
        <v>141</v>
      </c>
      <c r="J7" s="11" t="s">
        <v>142</v>
      </c>
      <c r="K7" s="6" t="s">
        <v>143</v>
      </c>
    </row>
    <row r="8" customFormat="false" ht="33.75" hidden="false" customHeight="true" outlineLevel="0" collapsed="false">
      <c r="B8" s="6" t="s">
        <v>150</v>
      </c>
      <c r="C8" s="6" t="s">
        <v>151</v>
      </c>
      <c r="D8" s="11" t="s">
        <v>152</v>
      </c>
      <c r="E8" s="11" t="s">
        <v>141</v>
      </c>
      <c r="F8" s="11" t="s">
        <v>141</v>
      </c>
      <c r="G8" s="11" t="s">
        <v>141</v>
      </c>
      <c r="H8" s="11" t="s">
        <v>141</v>
      </c>
      <c r="I8" s="33" t="s">
        <v>141</v>
      </c>
      <c r="J8" s="11" t="s">
        <v>153</v>
      </c>
      <c r="K8" s="6" t="s">
        <v>143</v>
      </c>
    </row>
    <row r="9" customFormat="false" ht="33.75" hidden="false" customHeight="true" outlineLevel="0" collapsed="false">
      <c r="B9" s="6" t="s">
        <v>154</v>
      </c>
      <c r="C9" s="6" t="s">
        <v>151</v>
      </c>
      <c r="D9" s="11" t="s">
        <v>140</v>
      </c>
      <c r="E9" s="11" t="s">
        <v>141</v>
      </c>
      <c r="F9" s="11" t="s">
        <v>141</v>
      </c>
      <c r="G9" s="11" t="s">
        <v>141</v>
      </c>
      <c r="H9" s="11" t="s">
        <v>141</v>
      </c>
      <c r="I9" s="33" t="s">
        <v>141</v>
      </c>
      <c r="J9" s="11" t="s">
        <v>142</v>
      </c>
      <c r="K9" s="6" t="s">
        <v>143</v>
      </c>
    </row>
    <row r="10" customFormat="false" ht="33.75" hidden="false" customHeight="true" outlineLevel="0" collapsed="false">
      <c r="B10" s="6" t="s">
        <v>155</v>
      </c>
      <c r="C10" s="6" t="s">
        <v>79</v>
      </c>
      <c r="D10" s="11" t="s">
        <v>156</v>
      </c>
      <c r="E10" s="11" t="s">
        <v>141</v>
      </c>
      <c r="F10" s="11" t="s">
        <v>141</v>
      </c>
      <c r="G10" s="11" t="s">
        <v>141</v>
      </c>
      <c r="H10" s="11" t="s">
        <v>141</v>
      </c>
      <c r="I10" s="33" t="s">
        <v>141</v>
      </c>
      <c r="J10" s="11" t="s">
        <v>157</v>
      </c>
      <c r="K10" s="6" t="s">
        <v>143</v>
      </c>
    </row>
    <row r="11" customFormat="false" ht="33.75" hidden="false" customHeight="true" outlineLevel="0" collapsed="false">
      <c r="B11" s="6" t="s">
        <v>158</v>
      </c>
      <c r="C11" s="6" t="s">
        <v>139</v>
      </c>
      <c r="D11" s="11" t="s">
        <v>35</v>
      </c>
      <c r="E11" s="11" t="s">
        <v>141</v>
      </c>
      <c r="F11" s="11" t="s">
        <v>159</v>
      </c>
      <c r="G11" s="11" t="s">
        <v>141</v>
      </c>
      <c r="H11" s="11" t="s">
        <v>141</v>
      </c>
      <c r="I11" s="33" t="s">
        <v>159</v>
      </c>
      <c r="J11" s="11" t="s">
        <v>160</v>
      </c>
      <c r="K11" s="6" t="s">
        <v>143</v>
      </c>
    </row>
    <row r="12" customFormat="false" ht="33.75" hidden="false" customHeight="true" outlineLevel="0" collapsed="false">
      <c r="B12" s="6" t="s">
        <v>161</v>
      </c>
      <c r="C12" s="6" t="s">
        <v>79</v>
      </c>
      <c r="D12" s="11" t="s">
        <v>162</v>
      </c>
      <c r="E12" s="11" t="s">
        <v>141</v>
      </c>
      <c r="F12" s="11" t="s">
        <v>141</v>
      </c>
      <c r="G12" s="11" t="s">
        <v>141</v>
      </c>
      <c r="H12" s="11" t="s">
        <v>141</v>
      </c>
      <c r="I12" s="33" t="s">
        <v>141</v>
      </c>
      <c r="J12" s="11" t="s">
        <v>157</v>
      </c>
      <c r="K12" s="6" t="s">
        <v>143</v>
      </c>
    </row>
    <row r="14" customFormat="false" ht="15" hidden="false" customHeight="false" outlineLevel="0" collapsed="false">
      <c r="B14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34"/>
  </cols>
  <sheetData>
    <row r="1" customFormat="false" ht="16.15" hidden="false" customHeight="false" outlineLevel="0" collapsed="false">
      <c r="B1" s="1" t="s">
        <v>164</v>
      </c>
    </row>
    <row r="2" customFormat="false" ht="15" hidden="false" customHeight="false" outlineLevel="0" collapsed="false">
      <c r="B2" s="2" t="s">
        <v>165</v>
      </c>
    </row>
    <row r="4" customFormat="false" ht="36" hidden="false" customHeight="true" outlineLevel="0" collapsed="false">
      <c r="B4" s="5" t="s">
        <v>102</v>
      </c>
      <c r="C4" s="5" t="s">
        <v>166</v>
      </c>
      <c r="D4" s="5" t="s">
        <v>167</v>
      </c>
      <c r="E4" s="5" t="s">
        <v>168</v>
      </c>
      <c r="F4" s="5" t="s">
        <v>169</v>
      </c>
      <c r="G4" s="5" t="s">
        <v>170</v>
      </c>
    </row>
    <row r="5" customFormat="false" ht="48" hidden="false" customHeight="true" outlineLevel="0" collapsed="false">
      <c r="B5" s="34" t="s">
        <v>171</v>
      </c>
      <c r="C5" s="6" t="s">
        <v>172</v>
      </c>
      <c r="D5" s="6" t="s">
        <v>173</v>
      </c>
      <c r="E5" s="6" t="s">
        <v>159</v>
      </c>
      <c r="F5" s="6" t="s">
        <v>159</v>
      </c>
      <c r="G5" s="6" t="s">
        <v>159</v>
      </c>
    </row>
    <row r="6" customFormat="false" ht="48" hidden="false" customHeight="true" outlineLevel="0" collapsed="false">
      <c r="B6" s="34" t="s">
        <v>174</v>
      </c>
      <c r="C6" s="6" t="s">
        <v>175</v>
      </c>
      <c r="D6" s="6" t="s">
        <v>176</v>
      </c>
      <c r="E6" s="6" t="s">
        <v>177</v>
      </c>
      <c r="F6" s="6" t="s">
        <v>178</v>
      </c>
      <c r="G6" s="6" t="s">
        <v>179</v>
      </c>
    </row>
    <row r="7" customFormat="false" ht="48" hidden="false" customHeight="true" outlineLevel="0" collapsed="false">
      <c r="B7" s="34" t="s">
        <v>180</v>
      </c>
      <c r="C7" s="6" t="s">
        <v>181</v>
      </c>
      <c r="D7" s="6" t="s">
        <v>182</v>
      </c>
      <c r="E7" s="6" t="s">
        <v>183</v>
      </c>
      <c r="F7" s="6" t="s">
        <v>184</v>
      </c>
      <c r="G7" s="6" t="s">
        <v>185</v>
      </c>
    </row>
    <row r="8" customFormat="false" ht="48" hidden="false" customHeight="true" outlineLevel="0" collapsed="false">
      <c r="B8" s="34" t="s">
        <v>186</v>
      </c>
      <c r="C8" s="6" t="s">
        <v>187</v>
      </c>
      <c r="D8" s="6" t="s">
        <v>188</v>
      </c>
      <c r="E8" s="6" t="s">
        <v>189</v>
      </c>
      <c r="F8" s="6" t="s">
        <v>190</v>
      </c>
      <c r="G8" s="6" t="s">
        <v>159</v>
      </c>
    </row>
    <row r="9" customFormat="false" ht="48" hidden="false" customHeight="true" outlineLevel="0" collapsed="false">
      <c r="B9" s="34" t="s">
        <v>191</v>
      </c>
      <c r="C9" s="6" t="s">
        <v>192</v>
      </c>
      <c r="D9" s="6" t="s">
        <v>193</v>
      </c>
      <c r="E9" s="6" t="s">
        <v>194</v>
      </c>
      <c r="F9" s="6" t="s">
        <v>195</v>
      </c>
      <c r="G9" s="6" t="s">
        <v>196</v>
      </c>
    </row>
    <row r="11" customFormat="false" ht="15" hidden="false" customHeight="false" outlineLevel="0" collapsed="false">
      <c r="B11" s="15" t="s">
        <v>197</v>
      </c>
    </row>
    <row r="12" customFormat="false" ht="31.5" hidden="false" customHeight="true" outlineLevel="0" collapsed="false">
      <c r="B12" s="32" t="s">
        <v>198</v>
      </c>
      <c r="C12" s="6" t="s">
        <v>199</v>
      </c>
      <c r="D12" s="6"/>
      <c r="E12" s="6"/>
      <c r="F12" s="6"/>
      <c r="G12" s="6"/>
    </row>
    <row r="13" customFormat="false" ht="31.5" hidden="false" customHeight="true" outlineLevel="0" collapsed="false">
      <c r="B13" s="32" t="s">
        <v>200</v>
      </c>
      <c r="C13" s="6" t="s">
        <v>201</v>
      </c>
      <c r="D13" s="6"/>
      <c r="E13" s="6"/>
      <c r="F13" s="6"/>
      <c r="G13" s="6"/>
    </row>
    <row r="14" customFormat="false" ht="31.5" hidden="false" customHeight="true" outlineLevel="0" collapsed="false">
      <c r="B14" s="32" t="s">
        <v>202</v>
      </c>
      <c r="C14" s="6" t="s">
        <v>203</v>
      </c>
      <c r="D14" s="6"/>
      <c r="E14" s="6"/>
      <c r="F14" s="6"/>
      <c r="G14" s="6"/>
    </row>
    <row r="15" customFormat="false" ht="31.5" hidden="false" customHeight="true" outlineLevel="0" collapsed="false">
      <c r="B15" s="32" t="s">
        <v>204</v>
      </c>
      <c r="C15" s="6" t="s">
        <v>205</v>
      </c>
      <c r="D15" s="6"/>
      <c r="E15" s="6"/>
      <c r="F15" s="6"/>
      <c r="G15" s="6"/>
    </row>
    <row r="16" customFormat="false" ht="31.5" hidden="false" customHeight="true" outlineLevel="0" collapsed="false">
      <c r="B16" s="32" t="s">
        <v>206</v>
      </c>
      <c r="C16" s="6" t="s">
        <v>207</v>
      </c>
      <c r="D16" s="6"/>
      <c r="E16" s="6"/>
      <c r="F16" s="6"/>
      <c r="G16" s="6"/>
    </row>
    <row r="17" customFormat="false" ht="31.5" hidden="false" customHeight="true" outlineLevel="0" collapsed="false">
      <c r="B17" s="32" t="s">
        <v>208</v>
      </c>
      <c r="C17" s="6" t="s">
        <v>209</v>
      </c>
      <c r="D17" s="6"/>
      <c r="E17" s="6"/>
      <c r="F17" s="6"/>
      <c r="G17" s="6"/>
    </row>
    <row r="18" customFormat="false" ht="31.5" hidden="false" customHeight="true" outlineLevel="0" collapsed="false">
      <c r="B18" s="32" t="s">
        <v>210</v>
      </c>
      <c r="C18" s="6" t="s">
        <v>211</v>
      </c>
      <c r="D18" s="6"/>
      <c r="E18" s="6"/>
      <c r="F18" s="6"/>
      <c r="G18" s="6"/>
    </row>
  </sheetData>
  <mergeCells count="7">
    <mergeCell ref="C12:G12"/>
    <mergeCell ref="C13:G13"/>
    <mergeCell ref="C14:G14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2026-10-19T16:01:14Z</dcterms:created>
  <dc:creator>openpyxl</dc:creator>
  <dc:description/>
  <dc:language>en-US</dc:language>
  <cp:lastModifiedBy/>
  <dcterms:modified xsi:type="dcterms:W3CDTF">2026-10-19T16:01:15Z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