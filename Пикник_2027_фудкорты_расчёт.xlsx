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удкорты 2027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4 515 279 — с/с 2026 на 33 корнера из «Бюджета»; в 2027 на 25 точек ожидается примерно на 1 млн меньше (оценка пользователя).</t>
        </r>
      </text>
    </comment>
  </commentList>
</comments>
</file>

<file path=xl/sharedStrings.xml><?xml version="1.0" encoding="utf-8"?>
<sst xmlns="http://schemas.openxmlformats.org/spreadsheetml/2006/main" count="74" uniqueCount="58">
  <si>
    <t xml:space="preserve">Фудкорты 2027: себестоимость, цена резиденту и маржа</t>
  </si>
  <si>
    <t xml:space="preserve">Жёлтые ячейки — ввод. Себестоимость и цены — из вкладки «Бюджет» (данные пользователя). Цена резиденту — с НДС.</t>
  </si>
  <si>
    <t xml:space="preserve">НДС</t>
  </si>
  <si>
    <t xml:space="preserve">Город</t>
  </si>
  <si>
    <t xml:space="preserve">Фудкорт</t>
  </si>
  <si>
    <t xml:space="preserve">Формат точки</t>
  </si>
  <si>
    <t xml:space="preserve">Точек</t>
  </si>
  <si>
    <t xml:space="preserve">С/с фудкорта, ₽</t>
  </si>
  <si>
    <t xml:space="preserve">С/с на точку, ₽</t>
  </si>
  <si>
    <t xml:space="preserve">Цена резиденту с НДС, ₽</t>
  </si>
  <si>
    <t xml:space="preserve">Цена без НДС, ₽</t>
  </si>
  <si>
    <t xml:space="preserve">Маржа на точку, ₽</t>
  </si>
  <si>
    <t xml:space="preserve">Маржа фудкорта, ₽</t>
  </si>
  <si>
    <t xml:space="preserve">Безубыток, точек</t>
  </si>
  <si>
    <t xml:space="preserve">Цена 2026, ₽</t>
  </si>
  <si>
    <t xml:space="preserve">Комментарий</t>
  </si>
  <si>
    <t xml:space="preserve">Москва</t>
  </si>
  <si>
    <t xml:space="preserve">Основной (большой)</t>
  </si>
  <si>
    <t xml:space="preserve">корнер 3×3</t>
  </si>
  <si>
    <t xml:space="preserve">195–280 тыс (Корнер №1–4, железо)</t>
  </si>
  <si>
    <t xml:space="preserve">С/с 2026 на 33 точки (4,52 млн) минус ~1 млн экономии в 2027 — оценка пользователя</t>
  </si>
  <si>
    <t xml:space="preserve">Основной, двойной корнер</t>
  </si>
  <si>
    <t xml:space="preserve">корнер 6×3</t>
  </si>
  <si>
    <t xml:space="preserve">450–475 тыс</t>
  </si>
  <si>
    <t xml:space="preserve">1 двойной = 2 места из 25</t>
  </si>
  <si>
    <t xml:space="preserve">Купер (доставка + общий трафик)</t>
  </si>
  <si>
    <t xml:space="preserve">шатёр-кухня 5×5</t>
  </si>
  <si>
    <t xml:space="preserve">Dark Kitchen 390 тыс</t>
  </si>
  <si>
    <t xml:space="preserve">Нет расчёта себестоимости шатра-пагоды</t>
  </si>
  <si>
    <t xml:space="preserve">2-я сцена</t>
  </si>
  <si>
    <t xml:space="preserve">корнер</t>
  </si>
  <si>
    <t xml:space="preserve">Нет себестоимости и цены</t>
  </si>
  <si>
    <t xml:space="preserve">VIP</t>
  </si>
  <si>
    <t xml:space="preserve">ВИП-корнер 250 тыс</t>
  </si>
  <si>
    <t xml:space="preserve">Мороженое</t>
  </si>
  <si>
    <t xml:space="preserve">тележка</t>
  </si>
  <si>
    <t xml:space="preserve">75 тыс</t>
  </si>
  <si>
    <t xml:space="preserve">Деревянный ФК</t>
  </si>
  <si>
    <t xml:space="preserve">корнер 4,5×3</t>
  </si>
  <si>
    <t xml:space="preserve">Есть в «Бюджете», но нет в новом плане Москвы — оставить или убрать?</t>
  </si>
  <si>
    <t xml:space="preserve">Петербург</t>
  </si>
  <si>
    <t xml:space="preserve">Основной</t>
  </si>
  <si>
    <t xml:space="preserve">180–260 тыс (Корнер №1–4, железо)</t>
  </si>
  <si>
    <t xml:space="preserve">В «Бюджете» с/с делится на 33, а точек 15. Здесь — на 15</t>
  </si>
  <si>
    <t xml:space="preserve">410–435 тыс</t>
  </si>
  <si>
    <t xml:space="preserve">1 двойной = 2 места из 15</t>
  </si>
  <si>
    <t xml:space="preserve">160–220 тыс (дерево 3×3)</t>
  </si>
  <si>
    <t xml:space="preserve">Итого Москва (основной + дерево)</t>
  </si>
  <si>
    <t xml:space="preserve">Итого Петербург (основной + дерево)</t>
  </si>
  <si>
    <t xml:space="preserve">Маржа фудкорта считается при продаже всех точек. Безубыток — сколько точек нужно продать, чтобы покрыть с/с фудкорта.</t>
  </si>
  <si>
    <t xml:space="preserve">Проверка для резидента: окупит ли он пакет</t>
  </si>
  <si>
    <t xml:space="preserve">Цена пакета, ₽</t>
  </si>
  <si>
    <t xml:space="preserve">Средний чек, ₽</t>
  </si>
  <si>
    <t xml:space="preserve">Допущение — замените фактическим средним чеком 2026</t>
  </si>
  <si>
    <t xml:space="preserve">Доля пакета в выручке резидента (ориентир)</t>
  </si>
  <si>
    <t xml:space="preserve">Ориентир, не норма: при доле выше ~20% резидент обычно уходит в минус после продуктов и персонала</t>
  </si>
  <si>
    <t xml:space="preserve">Нужная выручка резидента за фестиваль, ₽</t>
  </si>
  <si>
    <t xml:space="preserve">Нужно чеков за фестиваль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</si>
</sst>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;[RED]\-#,##0;\—"/>
    <numFmt numFmtId="167" formatCode="General"/>
    <numFmt numFmtId="168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3A1E1F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1E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4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n">
        <v>0.22</v>
      </c>
    </row>
    <row r="5" customFormat="false" ht="42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</row>
    <row r="6" customFormat="false" ht="23.85" hidden="false" customHeight="false" outlineLevel="0" collapsed="false">
      <c r="B6" s="6" t="s">
        <v>16</v>
      </c>
      <c r="C6" s="6" t="s">
        <v>17</v>
      </c>
      <c r="D6" s="6" t="s">
        <v>18</v>
      </c>
      <c r="E6" s="7" t="n">
        <v>25</v>
      </c>
      <c r="F6" s="8" t="n">
        <f aca="false">4515279-1000000</f>
        <v>3515279</v>
      </c>
      <c r="G6" s="9" t="n">
        <f aca="false">IF(OR(F6="",E6=""),"",F6/E6)</f>
        <v>140611.16</v>
      </c>
      <c r="H6" s="10" t="n">
        <v>200000</v>
      </c>
      <c r="I6" s="9" t="n">
        <f aca="false">IF(H6="","",H6/(1+$C$3))</f>
        <v>163934.426229508</v>
      </c>
      <c r="J6" s="9" t="n">
        <f aca="false">IF(OR(G6="",I6=""),"",I6-G6)</f>
        <v>23323.2662295082</v>
      </c>
      <c r="K6" s="9" t="n">
        <f aca="false">IF(J6="","",J6*E6)</f>
        <v>583081.655737705</v>
      </c>
      <c r="L6" s="11" t="n">
        <f aca="false">IF(OR(F6="",I6=""),"",IF(CEILING(F6/I6,1)&gt;E6,"не выходит",CEILING(F6/I6,1)))</f>
        <v>22</v>
      </c>
      <c r="M6" s="6" t="s">
        <v>19</v>
      </c>
      <c r="N6" s="6" t="s">
        <v>20</v>
      </c>
    </row>
    <row r="7" customFormat="false" ht="15" hidden="false" customHeight="false" outlineLevel="0" collapsed="false">
      <c r="B7" s="6" t="s">
        <v>16</v>
      </c>
      <c r="C7" s="6" t="s">
        <v>21</v>
      </c>
      <c r="D7" s="6" t="s">
        <v>22</v>
      </c>
      <c r="E7" s="7" t="n">
        <v>1</v>
      </c>
      <c r="F7" s="8" t="n">
        <f aca="false">G6*2</f>
        <v>281222.32</v>
      </c>
      <c r="G7" s="9" t="n">
        <f aca="false">IF(OR(F7="",E7=""),"",F7/E7)</f>
        <v>281222.32</v>
      </c>
      <c r="H7" s="10" t="n">
        <v>380000</v>
      </c>
      <c r="I7" s="9" t="n">
        <f aca="false">IF(H7="","",H7/(1+$C$3))</f>
        <v>311475.409836066</v>
      </c>
      <c r="J7" s="9" t="n">
        <f aca="false">IF(OR(G7="",I7=""),"",I7-G7)</f>
        <v>30253.0898360656</v>
      </c>
      <c r="K7" s="9" t="n">
        <f aca="false">IF(J7="","",J7*E7)</f>
        <v>30253.0898360656</v>
      </c>
      <c r="L7" s="11"/>
      <c r="M7" s="6" t="s">
        <v>23</v>
      </c>
      <c r="N7" s="6" t="s">
        <v>24</v>
      </c>
    </row>
    <row r="8" customFormat="false" ht="15" hidden="false" customHeight="false" outlineLevel="0" collapsed="false">
      <c r="B8" s="6" t="s">
        <v>16</v>
      </c>
      <c r="C8" s="6" t="s">
        <v>25</v>
      </c>
      <c r="D8" s="6" t="s">
        <v>26</v>
      </c>
      <c r="E8" s="7" t="n">
        <v>7</v>
      </c>
      <c r="F8" s="10"/>
      <c r="G8" s="9" t="str">
        <f aca="false">IF(OR(F8="",E8=""),"",F8/E8)</f>
        <v/>
      </c>
      <c r="H8" s="10" t="n">
        <v>200000</v>
      </c>
      <c r="I8" s="9" t="n">
        <f aca="false">IF(H8="","",H8/(1+$C$3))</f>
        <v>163934.426229508</v>
      </c>
      <c r="J8" s="9" t="str">
        <f aca="false">IF(OR(G8="",I8=""),"",I8-G8)</f>
        <v/>
      </c>
      <c r="K8" s="9" t="str">
        <f aca="false">IF(J8="","",J8*E8)</f>
        <v/>
      </c>
      <c r="L8" s="11"/>
      <c r="M8" s="6" t="s">
        <v>27</v>
      </c>
      <c r="N8" s="6" t="s">
        <v>28</v>
      </c>
    </row>
    <row r="9" customFormat="false" ht="15" hidden="false" customHeight="false" outlineLevel="0" collapsed="false">
      <c r="B9" s="6" t="s">
        <v>16</v>
      </c>
      <c r="C9" s="6" t="s">
        <v>29</v>
      </c>
      <c r="D9" s="6" t="s">
        <v>30</v>
      </c>
      <c r="E9" s="7" t="n">
        <v>5</v>
      </c>
      <c r="F9" s="10"/>
      <c r="G9" s="9" t="str">
        <f aca="false">IF(OR(F9="",E9=""),"",F9/E9)</f>
        <v/>
      </c>
      <c r="H9" s="10"/>
      <c r="I9" s="9" t="str">
        <f aca="false">IF(H9="","",H9/(1+$C$3))</f>
        <v/>
      </c>
      <c r="J9" s="9" t="str">
        <f aca="false">IF(OR(G9="",I9=""),"",I9-G9)</f>
        <v/>
      </c>
      <c r="K9" s="9" t="str">
        <f aca="false">IF(J9="","",J9*E9)</f>
        <v/>
      </c>
      <c r="L9" s="11"/>
      <c r="M9" s="6"/>
      <c r="N9" s="6" t="s">
        <v>31</v>
      </c>
    </row>
    <row r="10" customFormat="false" ht="15" hidden="false" customHeight="false" outlineLevel="0" collapsed="false">
      <c r="B10" s="6" t="s">
        <v>16</v>
      </c>
      <c r="C10" s="6" t="s">
        <v>32</v>
      </c>
      <c r="D10" s="6" t="s">
        <v>30</v>
      </c>
      <c r="E10" s="7" t="n">
        <v>4</v>
      </c>
      <c r="F10" s="10"/>
      <c r="G10" s="9" t="str">
        <f aca="false">IF(OR(F10="",E10=""),"",F10/E10)</f>
        <v/>
      </c>
      <c r="H10" s="10"/>
      <c r="I10" s="9" t="str">
        <f aca="false">IF(H10="","",H10/(1+$C$3))</f>
        <v/>
      </c>
      <c r="J10" s="9" t="str">
        <f aca="false">IF(OR(G10="",I10=""),"",I10-G10)</f>
        <v/>
      </c>
      <c r="K10" s="9" t="str">
        <f aca="false">IF(J10="","",J10*E10)</f>
        <v/>
      </c>
      <c r="L10" s="11"/>
      <c r="M10" s="6" t="s">
        <v>33</v>
      </c>
      <c r="N10" s="6" t="s">
        <v>31</v>
      </c>
    </row>
    <row r="11" customFormat="false" ht="15" hidden="false" customHeight="false" outlineLevel="0" collapsed="false">
      <c r="B11" s="6" t="s">
        <v>16</v>
      </c>
      <c r="C11" s="6" t="s">
        <v>34</v>
      </c>
      <c r="D11" s="6" t="s">
        <v>35</v>
      </c>
      <c r="E11" s="7" t="n">
        <v>4</v>
      </c>
      <c r="F11" s="10"/>
      <c r="G11" s="9" t="str">
        <f aca="false">IF(OR(F11="",E11=""),"",F11/E11)</f>
        <v/>
      </c>
      <c r="H11" s="10"/>
      <c r="I11" s="9" t="str">
        <f aca="false">IF(H11="","",H11/(1+$C$3))</f>
        <v/>
      </c>
      <c r="J11" s="9" t="str">
        <f aca="false">IF(OR(G11="",I11=""),"",I11-G11)</f>
        <v/>
      </c>
      <c r="K11" s="9" t="str">
        <f aca="false">IF(J11="","",J11*E11)</f>
        <v/>
      </c>
      <c r="L11" s="11"/>
      <c r="M11" s="6" t="s">
        <v>36</v>
      </c>
      <c r="N11" s="6" t="s">
        <v>31</v>
      </c>
    </row>
    <row r="12" customFormat="false" ht="23.85" hidden="false" customHeight="false" outlineLevel="0" collapsed="false">
      <c r="B12" s="6" t="s">
        <v>16</v>
      </c>
      <c r="C12" s="6" t="s">
        <v>37</v>
      </c>
      <c r="D12" s="6" t="s">
        <v>38</v>
      </c>
      <c r="E12" s="7" t="n">
        <v>10</v>
      </c>
      <c r="F12" s="10" t="n">
        <v>1930000</v>
      </c>
      <c r="G12" s="9" t="n">
        <f aca="false">IF(OR(F12="",E12=""),"",F12/E12)</f>
        <v>193000</v>
      </c>
      <c r="H12" s="10" t="n">
        <v>280000</v>
      </c>
      <c r="I12" s="9" t="n">
        <f aca="false">IF(H12="","",H12/(1+$C$3))</f>
        <v>229508.196721311</v>
      </c>
      <c r="J12" s="9" t="n">
        <f aca="false">IF(OR(G12="",I12=""),"",I12-G12)</f>
        <v>36508.1967213115</v>
      </c>
      <c r="K12" s="9" t="n">
        <f aca="false">IF(J12="","",J12*E12)</f>
        <v>365081.967213115</v>
      </c>
      <c r="L12" s="11" t="n">
        <f aca="false">IF(OR(F12="",I12=""),"",IF(CEILING(F12/I12,1)&gt;E12,"не выходит",CEILING(F12/I12,1)))</f>
        <v>9</v>
      </c>
      <c r="M12" s="6"/>
      <c r="N12" s="6" t="s">
        <v>39</v>
      </c>
    </row>
    <row r="13" customFormat="false" ht="23.85" hidden="false" customHeight="false" outlineLevel="0" collapsed="false">
      <c r="B13" s="6" t="s">
        <v>40</v>
      </c>
      <c r="C13" s="6" t="s">
        <v>41</v>
      </c>
      <c r="D13" s="6" t="s">
        <v>18</v>
      </c>
      <c r="E13" s="7" t="n">
        <v>15</v>
      </c>
      <c r="F13" s="10" t="n">
        <v>3839000</v>
      </c>
      <c r="G13" s="9" t="n">
        <f aca="false">IF(OR(F13="",E13=""),"",F13/E13)</f>
        <v>255933.333333333</v>
      </c>
      <c r="H13" s="10" t="n">
        <v>170000</v>
      </c>
      <c r="I13" s="9" t="n">
        <f aca="false">IF(H13="","",H13/(1+$C$3))</f>
        <v>139344.262295082</v>
      </c>
      <c r="J13" s="9" t="n">
        <f aca="false">IF(OR(G13="",I13=""),"",I13-G13)</f>
        <v>-116589.071038251</v>
      </c>
      <c r="K13" s="9" t="n">
        <f aca="false">IF(J13="","",J13*E13)</f>
        <v>-1748836.06557377</v>
      </c>
      <c r="L13" s="11" t="str">
        <f aca="false">IF(OR(F13="",I13=""),"",IF(CEILING(F13/I13,1)&gt;E13,"не выходит",CEILING(F13/I13,1)))</f>
        <v>не выходит</v>
      </c>
      <c r="M13" s="6" t="s">
        <v>42</v>
      </c>
      <c r="N13" s="6" t="s">
        <v>43</v>
      </c>
    </row>
    <row r="14" customFormat="false" ht="15" hidden="false" customHeight="false" outlineLevel="0" collapsed="false">
      <c r="B14" s="6" t="s">
        <v>40</v>
      </c>
      <c r="C14" s="6" t="s">
        <v>21</v>
      </c>
      <c r="D14" s="6" t="s">
        <v>22</v>
      </c>
      <c r="E14" s="7" t="n">
        <v>1</v>
      </c>
      <c r="F14" s="8" t="n">
        <f aca="false">G13*2</f>
        <v>511866.666666667</v>
      </c>
      <c r="G14" s="9" t="n">
        <f aca="false">IF(OR(F14="",E14=""),"",F14/E14)</f>
        <v>511866.666666667</v>
      </c>
      <c r="H14" s="10" t="n">
        <v>320000</v>
      </c>
      <c r="I14" s="9" t="n">
        <f aca="false">IF(H14="","",H14/(1+$C$3))</f>
        <v>262295.081967213</v>
      </c>
      <c r="J14" s="9" t="n">
        <f aca="false">IF(OR(G14="",I14=""),"",I14-G14)</f>
        <v>-249571.584699454</v>
      </c>
      <c r="K14" s="9" t="n">
        <f aca="false">IF(J14="","",J14*E14)</f>
        <v>-249571.584699454</v>
      </c>
      <c r="L14" s="11"/>
      <c r="M14" s="6" t="s">
        <v>44</v>
      </c>
      <c r="N14" s="6" t="s">
        <v>45</v>
      </c>
    </row>
    <row r="15" customFormat="false" ht="15" hidden="false" customHeight="false" outlineLevel="0" collapsed="false">
      <c r="B15" s="6" t="s">
        <v>40</v>
      </c>
      <c r="C15" s="6" t="s">
        <v>37</v>
      </c>
      <c r="D15" s="6" t="s">
        <v>38</v>
      </c>
      <c r="E15" s="7" t="n">
        <v>15</v>
      </c>
      <c r="F15" s="10" t="n">
        <v>2401000</v>
      </c>
      <c r="G15" s="9" t="n">
        <f aca="false">IF(OR(F15="",E15=""),"",F15/E15)</f>
        <v>160066.666666667</v>
      </c>
      <c r="H15" s="10" t="n">
        <v>230000</v>
      </c>
      <c r="I15" s="9" t="n">
        <f aca="false">IF(H15="","",H15/(1+$C$3))</f>
        <v>188524.590163934</v>
      </c>
      <c r="J15" s="9" t="n">
        <f aca="false">IF(OR(G15="",I15=""),"",I15-G15)</f>
        <v>28457.9234972678</v>
      </c>
      <c r="K15" s="9" t="n">
        <f aca="false">IF(J15="","",J15*E15)</f>
        <v>426868.852459017</v>
      </c>
      <c r="L15" s="11" t="n">
        <f aca="false">IF(OR(F15="",I15=""),"",IF(CEILING(F15/I15,1)&gt;E15,"не выходит",CEILING(F15/I15,1)))</f>
        <v>13</v>
      </c>
      <c r="M15" s="6" t="s">
        <v>46</v>
      </c>
      <c r="N15" s="6"/>
    </row>
    <row r="17" customFormat="false" ht="15" hidden="false" customHeight="false" outlineLevel="0" collapsed="false">
      <c r="B17" s="12" t="s">
        <v>47</v>
      </c>
      <c r="C17" s="13"/>
      <c r="D17" s="13"/>
      <c r="E17" s="13"/>
      <c r="F17" s="13"/>
      <c r="G17" s="13"/>
      <c r="H17" s="13"/>
      <c r="I17" s="13"/>
      <c r="J17" s="13"/>
      <c r="K17" s="14" t="n">
        <f aca="false">K6+K12</f>
        <v>948163.622950819</v>
      </c>
      <c r="L17" s="13"/>
      <c r="M17" s="13"/>
      <c r="N17" s="13"/>
    </row>
    <row r="18" customFormat="false" ht="15" hidden="false" customHeight="false" outlineLevel="0" collapsed="false">
      <c r="B18" s="12" t="s">
        <v>48</v>
      </c>
      <c r="C18" s="13"/>
      <c r="D18" s="13"/>
      <c r="E18" s="13"/>
      <c r="F18" s="13"/>
      <c r="G18" s="13"/>
      <c r="H18" s="13"/>
      <c r="I18" s="13"/>
      <c r="J18" s="13"/>
      <c r="K18" s="14" t="n">
        <f aca="false">K13+K15</f>
        <v>-1321967.21311475</v>
      </c>
      <c r="L18" s="13"/>
      <c r="M18" s="13"/>
      <c r="N18" s="13"/>
    </row>
    <row r="19" customFormat="false" ht="15" hidden="false" customHeight="false" outlineLevel="0" collapsed="false">
      <c r="B19" s="2" t="s">
        <v>49</v>
      </c>
    </row>
    <row r="21" customFormat="false" ht="15" hidden="false" customHeight="false" outlineLevel="0" collapsed="false">
      <c r="B21" s="15" t="s">
        <v>50</v>
      </c>
    </row>
    <row r="22" customFormat="false" ht="15" hidden="false" customHeight="false" outlineLevel="0" collapsed="false">
      <c r="B22" s="16" t="s">
        <v>51</v>
      </c>
      <c r="C22" s="17" t="n">
        <f aca="false">H6</f>
        <v>200000</v>
      </c>
    </row>
    <row r="23" customFormat="false" ht="15" hidden="false" customHeight="false" outlineLevel="0" collapsed="false">
      <c r="B23" s="16" t="s">
        <v>52</v>
      </c>
      <c r="C23" s="18" t="n">
        <v>800</v>
      </c>
      <c r="D23" s="2" t="s">
        <v>53</v>
      </c>
    </row>
    <row r="24" customFormat="false" ht="15" hidden="false" customHeight="false" outlineLevel="0" collapsed="false">
      <c r="B24" s="16" t="s">
        <v>54</v>
      </c>
      <c r="C24" s="19" t="n">
        <v>0.15</v>
      </c>
      <c r="D24" s="2" t="s">
        <v>55</v>
      </c>
    </row>
    <row r="25" customFormat="false" ht="15" hidden="false" customHeight="false" outlineLevel="0" collapsed="false">
      <c r="B25" s="16" t="s">
        <v>56</v>
      </c>
      <c r="C25" s="17" t="n">
        <f aca="false">C22/C24</f>
        <v>1333333.33333333</v>
      </c>
    </row>
    <row r="26" customFormat="false" ht="15" hidden="false" customHeight="false" outlineLevel="0" collapsed="false">
      <c r="B26" s="16" t="s">
        <v>57</v>
      </c>
      <c r="C26" s="20" t="n">
        <f aca="false">C25/C23</f>
        <v>1666.66666666667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2026-10-19T15:44:06Z</dcterms:created>
  <dc:creator>openpyxl</dc:creator>
  <dc:description/>
  <dc:language>en-US</dc:language>
  <cp:lastModifiedBy/>
  <dcterms:modified xsi:type="dcterms:W3CDTF">2026-10-19T15:44:06Z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