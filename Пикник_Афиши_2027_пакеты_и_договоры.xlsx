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араметры" sheetId="1" state="visible" r:id="rId3"/>
    <sheet name="Матрица 2027" sheetId="2" state="visible" r:id="rId4"/>
    <sheet name="Форматы договоров" sheetId="3" state="visible" r:id="rId5"/>
    <sheet name="Калькулятор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По умолчанию = общий индекс с листа «Параметры». Можно перезаписать числом для конкретного пакета (напр. 15% для дефицитных форматов).</t>
        </r>
      </text>
    </comment>
    <comment ref="T5" authorId="0">
      <text>
        <r>
          <rPr>
            <sz val="10"/>
            <rFont val="Arial"/>
            <family val="2"/>
          </rPr>
          <t xml:space="preserve">Введите плановое количество проданных пакетов — выручка посчитается автоматически.</t>
        </r>
      </text>
    </comment>
  </commentList>
</comments>
</file>

<file path=xl/sharedStrings.xml><?xml version="1.0" encoding="utf-8"?>
<sst xmlns="http://schemas.openxmlformats.org/spreadsheetml/2006/main" count="617" uniqueCount="235">
  <si>
    <t xml:space="preserve">Параметры сезона 2027 — меняйте только жёлтые ячейки</t>
  </si>
  <si>
    <t xml:space="preserve">Параметр</t>
  </si>
  <si>
    <t xml:space="preserve">Значение</t>
  </si>
  <si>
    <t xml:space="preserve">Комментарий / источник</t>
  </si>
  <si>
    <t xml:space="preserve">Индексация цен 2027 к 2026 (по умолчанию для всех пакетов)</t>
  </si>
  <si>
    <t xml:space="preserve">Допущение, не факт: ориентир ≈ инфляция + рост спроса. Замените на утверждённое значение. Для отдельного пакета индекс меняется в колонке «Индекс» матрицы.</t>
  </si>
  <si>
    <t xml:space="preserve">Шаг округления цены, ₽</t>
  </si>
  <si>
    <t xml:space="preserve">Цены 2027 округляются до этого шага.</t>
  </si>
  <si>
    <t xml:space="preserve">Ранняя оплата: скидка (до 1 марта 2027)</t>
  </si>
  <si>
    <t xml:space="preserve">Предложение механики early bird. Не применяется в матрице автоматически — используется в оферте.</t>
  </si>
  <si>
    <t xml:space="preserve">Стандартная предоплата по оферте</t>
  </si>
  <si>
    <t xml:space="preserve">Доля цены пакета при акцепте оферты; остаток — до даты, указанной в оферте.</t>
  </si>
  <si>
    <t xml:space="preserve">Revenue share: доля организатора по умолчанию</t>
  </si>
  <si>
    <t xml:space="preserve">Ориентир для договора деления выручки с резидентом. Уточнить по фактическим чекам 2026.</t>
  </si>
  <si>
    <t xml:space="preserve">Бар ВИП: доля организатора по умолчанию</t>
  </si>
  <si>
    <t xml:space="preserve">Ориентир для договора на торговлю напитками в ВИП.</t>
  </si>
  <si>
    <t xml:space="preserve">Легенда</t>
  </si>
  <si>
    <t xml:space="preserve">Синий шрифт на жёлтом</t>
  </si>
  <si>
    <t xml:space="preserve">ввод: меняйте</t>
  </si>
  <si>
    <t xml:space="preserve">Зелёный шрифт</t>
  </si>
  <si>
    <t xml:space="preserve">ссылка на этот лист</t>
  </si>
  <si>
    <t xml:space="preserve">Чёрный шрифт</t>
  </si>
  <si>
    <t xml:space="preserve">формула — не трогать</t>
  </si>
  <si>
    <t xml:space="preserve">Цены 2026</t>
  </si>
  <si>
    <t xml:space="preserve">перенесены из файла-примера 2026 без изменений (данные пользователя)</t>
  </si>
  <si>
    <t xml:space="preserve">Матрица пакетов участия — Пикник Афиши 2027</t>
  </si>
  <si>
    <t xml:space="preserve">Цены 2026 — из файла 2026. Цены 2027 = цена 2026 × (1 + индекс), с округлением (лист «Параметры»). Вар.1 = железная застройка / основной вариант, вар.2 = деревянная / альтернативный (для «2 варианта» — уточнить, чем отличаются).</t>
  </si>
  <si>
    <t xml:space="preserve">Название пакета</t>
  </si>
  <si>
    <t xml:space="preserve">Площадка</t>
  </si>
  <si>
    <t xml:space="preserve">Вариант застройки / Тип</t>
  </si>
  <si>
    <t xml:space="preserve">Цена 2026, вар.1 (Ж) ₽</t>
  </si>
  <si>
    <t xml:space="preserve">Цена 2026, вар.2 (Д) ₽</t>
  </si>
  <si>
    <t xml:space="preserve">Ед.</t>
  </si>
  <si>
    <t xml:space="preserve">Индекс 2027</t>
  </si>
  <si>
    <t xml:space="preserve">Цена 2027, вар.1 ₽</t>
  </si>
  <si>
    <t xml:space="preserve">Цена 2027, вар.2 ₽</t>
  </si>
  <si>
    <t xml:space="preserve">Предоплата</t>
  </si>
  <si>
    <t xml:space="preserve">Торг. точка (кв.м)</t>
  </si>
  <si>
    <t xml:space="preserve">Техн. зона (кв.м)</t>
  </si>
  <si>
    <t xml:space="preserve">Электричество (кВт)</t>
  </si>
  <si>
    <t xml:space="preserve">Аккредитация (чел.)</t>
  </si>
  <si>
    <t xml:space="preserve">Доп. билеты (шт.)</t>
  </si>
  <si>
    <t xml:space="preserve">Включенные услуги</t>
  </si>
  <si>
    <t xml:space="preserve">Основной формат договора</t>
  </si>
  <si>
    <t xml:space="preserve">Альтернативный формат</t>
  </si>
  <si>
    <t xml:space="preserve">План продаж 2027, вар.1 (шт)</t>
  </si>
  <si>
    <t xml:space="preserve">План продаж 2027, вар.2 (шт)</t>
  </si>
  <si>
    <t xml:space="preserve">Выручка план 2027 ₽</t>
  </si>
  <si>
    <t xml:space="preserve">ПЛОЩАДКА №1 (Москва)</t>
  </si>
  <si>
    <t xml:space="preserve">Корнер №1</t>
  </si>
  <si>
    <t xml:space="preserve">Москва</t>
  </si>
  <si>
    <t xml:space="preserve">Железная / Деревянная</t>
  </si>
  <si>
    <t xml:space="preserve">пакет</t>
  </si>
  <si>
    <t xml:space="preserve">100% (3 дня)</t>
  </si>
  <si>
    <t xml:space="preserve">—</t>
  </si>
  <si>
    <t xml:space="preserve">Брендирование, печать меню, вывоз мусора, разрешение</t>
  </si>
  <si>
    <t xml:space="preserve">Оферта</t>
  </si>
  <si>
    <t xml:space="preserve">Корнер №2</t>
  </si>
  <si>
    <t xml:space="preserve">Корнер №3</t>
  </si>
  <si>
    <t xml:space="preserve">до 10</t>
  </si>
  <si>
    <t xml:space="preserve">Деление выручки</t>
  </si>
  <si>
    <t xml:space="preserve">Корнер №4</t>
  </si>
  <si>
    <t xml:space="preserve">до 15</t>
  </si>
  <si>
    <t xml:space="preserve">ВИП-корнер</t>
  </si>
  <si>
    <t xml:space="preserve">Брендирование, печать меню, вывоз мусора</t>
  </si>
  <si>
    <t xml:space="preserve">Договор бар ВИП</t>
  </si>
  <si>
    <t xml:space="preserve">ПЛОЩАДКА №2 (Санкт-Петербург)</t>
  </si>
  <si>
    <t xml:space="preserve">Санкт-Петербург</t>
  </si>
  <si>
    <t xml:space="preserve">Фудтрак</t>
  </si>
  <si>
    <t xml:space="preserve">Вывоз мусора, разрешение</t>
  </si>
  <si>
    <t xml:space="preserve">КОМБОПАКЕТЫ (Москва + Санкт-Петербург)</t>
  </si>
  <si>
    <t xml:space="preserve">Комбо (1+2)</t>
  </si>
  <si>
    <t xml:space="preserve">Ж+Ж / Д+Д</t>
  </si>
  <si>
    <t xml:space="preserve">9 (на каждой)</t>
  </si>
  <si>
    <t xml:space="preserve">4 (на каждой)</t>
  </si>
  <si>
    <t xml:space="preserve">5 (суммарно)</t>
  </si>
  <si>
    <t xml:space="preserve">до 5</t>
  </si>
  <si>
    <t xml:space="preserve">10 (суммарно)</t>
  </si>
  <si>
    <t xml:space="preserve">15 (суммарно)</t>
  </si>
  <si>
    <t xml:space="preserve">Двойной корнер лаер</t>
  </si>
  <si>
    <t xml:space="preserve">Ж+Ж (2 варианта)</t>
  </si>
  <si>
    <t xml:space="preserve">Комбо лаер + дерево, 5 кВт</t>
  </si>
  <si>
    <t xml:space="preserve">Ж+Д</t>
  </si>
  <si>
    <t xml:space="preserve">Комбо лаер + дерево, 10 кВт</t>
  </si>
  <si>
    <t xml:space="preserve">Комбо лаер + дерево, 15 кВт</t>
  </si>
  <si>
    <t xml:space="preserve">Двойной дерево</t>
  </si>
  <si>
    <t xml:space="preserve">Д+Д (2 варианта)</t>
  </si>
  <si>
    <t xml:space="preserve">СПЕЦИАЛЬНЫЕ И ДОПОЛНИТЕЛЬНЫЕ ФОРМАТЫ</t>
  </si>
  <si>
    <t xml:space="preserve">Застройка своего корнера</t>
  </si>
  <si>
    <t xml:space="preserve">Любая</t>
  </si>
  <si>
    <t xml:space="preserve">Свой макет</t>
  </si>
  <si>
    <t xml:space="preserve">за кв.м</t>
  </si>
  <si>
    <t xml:space="preserve">По макету</t>
  </si>
  <si>
    <t xml:space="preserve">Размещение на сайте, вывоз мусора, общая зона</t>
  </si>
  <si>
    <t xml:space="preserve">Dark Kitchen</t>
  </si>
  <si>
    <t xml:space="preserve">Стойка 2x2, шатер 5x5</t>
  </si>
  <si>
    <t xml:space="preserve">Промо-поддержка, вывоз мусора</t>
  </si>
  <si>
    <t xml:space="preserve">Grab &amp; Go (Вендинг)</t>
  </si>
  <si>
    <t xml:space="preserve">2 (автомат)</t>
  </si>
  <si>
    <t xml:space="preserve">Вывоз мусора</t>
  </si>
  <si>
    <t xml:space="preserve">Лавка. Фермерский рынок</t>
  </si>
  <si>
    <t xml:space="preserve">до 2</t>
  </si>
  <si>
    <t xml:space="preserve">Гастропартнер ВИП-фудкорта</t>
  </si>
  <si>
    <t xml:space="preserve">≥5 точек</t>
  </si>
  <si>
    <t xml:space="preserve">до 30</t>
  </si>
  <si>
    <t xml:space="preserve">Технологический партнер</t>
  </si>
  <si>
    <t xml:space="preserve">Эксклюзив, брендирование, статус</t>
  </si>
  <si>
    <t xml:space="preserve">Гастроспонсорство</t>
  </si>
  <si>
    <t xml:space="preserve">Интеграция локальных фестивалей</t>
  </si>
  <si>
    <t xml:space="preserve">5 корнеров 3x3</t>
  </si>
  <si>
    <t xml:space="preserve">Проведение активностей, вывоз мусора</t>
  </si>
  <si>
    <t xml:space="preserve">Коллаборация Бренд №1 х №2</t>
  </si>
  <si>
    <t xml:space="preserve">Лаунж-зона для бронирования</t>
  </si>
  <si>
    <t xml:space="preserve">Тележка для мороженого</t>
  </si>
  <si>
    <t xml:space="preserve">ПАКЕТ ДОПОЛНИТЕЛЬНЫХ ОПЦИЙ (допсоглашение / доп. позиция в оферте)</t>
  </si>
  <si>
    <t xml:space="preserve">Право выбора места</t>
  </si>
  <si>
    <t xml:space="preserve">Услуга</t>
  </si>
  <si>
    <t xml:space="preserve">шт</t>
  </si>
  <si>
    <t xml:space="preserve">Продвижение в соцсетях</t>
  </si>
  <si>
    <t xml:space="preserve">Ночное хранение продуктов</t>
  </si>
  <si>
    <t xml:space="preserve">Фото/Видео контент</t>
  </si>
  <si>
    <t xml:space="preserve">Участие в Гастрогостиной</t>
  </si>
  <si>
    <t xml:space="preserve">Доп. персонал</t>
  </si>
  <si>
    <t xml:space="preserve">чел-час</t>
  </si>
  <si>
    <t xml:space="preserve">ИТОГО план выручки 2027</t>
  </si>
  <si>
    <t xml:space="preserve">Примечания</t>
  </si>
  <si>
    <t xml:space="preserve">1. Цены 2027 — расчётные (индексация), не утверждённые. Перед публикацией оферты проверьте их вручную.</t>
  </si>
  <si>
    <t xml:space="preserve">2. Для «Застройки своего корнера» и «Доп. персонала» цена — за единицу (кв.м / чел-час), округление до 100 ₽.</t>
  </si>
  <si>
    <t xml:space="preserve">3. «Альтернативный формат» — модель, которую можно предложить резиденту вместо фикса (напр. % от выручки + минимальная гарантия). Условия — лист «Форматы договоров».</t>
  </si>
  <si>
    <t xml:space="preserve">4. Пустые ячейки в строках «лаер / дерево» — в файле 2026 параметры не были заполнены, их нужно дописать.</t>
  </si>
  <si>
    <t xml:space="preserve">5. Ячейки договора выбираются из списка: Оферта / Договор бар ВИП / Деление выручки / Гастроспонсорство.</t>
  </si>
  <si>
    <t xml:space="preserve">Форматы договоров с резидентами и партнёрами — 2027</t>
  </si>
  <si>
    <t xml:space="preserve">Рабочая структура для юриста, не готовый текст договора. Ссылки на законы — для проверки юристом, финальные формулировки согласовать с юр. отделом Афиши.</t>
  </si>
  <si>
    <t xml:space="preserve">1. Публичная оферта на участие</t>
  </si>
  <si>
    <t xml:space="preserve">2. Договор на торговлю напитками (бар ВИП)</t>
  </si>
  <si>
    <t xml:space="preserve">3. Договор на деление выручки с резидентом</t>
  </si>
  <si>
    <t xml:space="preserve">4. Договор гастроспонсорства</t>
  </si>
  <si>
    <t xml:space="preserve">Когда применять</t>
  </si>
  <si>
    <t xml:space="preserve">Стандартные пакеты с фиксированной ценой: корнеры, фудтраки, Dark Kitchen, вендинг, лавки, тележки, доп. опции. Массовый поток резидентов.</t>
  </si>
  <si>
    <t xml:space="preserve">Эксклюзивный оператор бара / напитков в ВИП-зоне, лаунж-зоне, ВИП-фудкорте.</t>
  </si>
  <si>
    <t xml:space="preserve">Сильные резиденты с высоким чеком, где фикс отпугивает, а потенциал выручки выше цены пакета; новые форматы без истории продаж.</t>
  </si>
  <si>
    <t xml:space="preserve">Бренды и партнёры без торговли или с торговлей как частью интеграции: тех. партнёр, коллаборации брендов, интеграция локальных фестивалей, спецпроекты.</t>
  </si>
  <si>
    <t xml:space="preserve">Пакеты из матрицы</t>
  </si>
  <si>
    <t xml:space="preserve">Все строки с форматом «Оферта»</t>
  </si>
  <si>
    <t xml:space="preserve">ВИП-корнер, Лаунж-зона, Гастропартнер ВИП-фудкорта (альтернатива)</t>
  </si>
  <si>
    <t xml:space="preserve">Корнер №3–4, двойные корнеры, Фудтрак, Dark Kitchen, Гастропартнер ВИП-фудкорта</t>
  </si>
  <si>
    <t xml:space="preserve">Технологический партнер, Коллаборация брендов, Интеграция локальных фестивалей</t>
  </si>
  <si>
    <t xml:space="preserve">Правовая форма</t>
  </si>
  <si>
    <t xml:space="preserve">Публичная оферта (ст. 435, 437 ГК РФ); акцепт — оплата счёта / заполнение заявки (ст. 438 п. 3 ГК РФ). Договор возмездного оказания услуг (гл. 39 ГК РФ).</t>
  </si>
  <si>
    <t xml:space="preserve">Двусторонний договор: предоставление права торговли / услуги организатора + исключительность категории. Иногда — субаренда места (если организатор арендует площадку).</t>
  </si>
  <si>
    <t xml:space="preserve">Договор оказания услуг с переменным вознаграждением (% от выручки) + минимальная гарантия. Альтернатива — агентский договор, если оплаты идут через кассу/эквайринг организатора. Договор простого товарищества (гл. 55 ГК) не рекомендуется: сложный учёт и налоги.</t>
  </si>
  <si>
    <t xml:space="preserve">Договор спонсорства = договор на оказание рекламных услуг (ФЗ «О рекламе» № 38-ФЗ, ст. 3 п. 9–10). Возможен смешанный: деньги + бартер (товар/услуги).</t>
  </si>
  <si>
    <t xml:space="preserve">Стороны</t>
  </si>
  <si>
    <t xml:space="preserve">Организатор ↔ резидент (ИП / ООО / самозанятый — проверить, разрешена ли торговля для его режима).</t>
  </si>
  <si>
    <t xml:space="preserve">Организатор ↔ оператор бара (юрлицо/ИП с правом продажи алкоголя).</t>
  </si>
  <si>
    <t xml:space="preserve">Организатор ↔ резидент.</t>
  </si>
  <si>
    <t xml:space="preserve">Организатор ↔ спонсор (бренд) или его рекламное агентство.</t>
  </si>
  <si>
    <t xml:space="preserve">Предмет</t>
  </si>
  <si>
    <t xml:space="preserve">Предоставление места и пакета услуг на фестивале (застройка, электричество, аккредитация, вывоз мусора и т.д. — по матрице).</t>
  </si>
  <si>
    <t xml:space="preserve">Право на эксклюзивную продажу напитков в ВИП-зоне, место, застройка бара, подключения; оператор — продажа, персонал, лицензии.</t>
  </si>
  <si>
    <t xml:space="preserve">Предоставление места и услуг; вознаграждение организатора — % от выручки точки.</t>
  </si>
  <si>
    <t xml:space="preserve">Рекламные и интеграционные услуги: упоминание статуса, брендирование, зона/активация, контент, эксклюзивность категории.</t>
  </si>
  <si>
    <t xml:space="preserve">Цена / вознаграждение</t>
  </si>
  <si>
    <t xml:space="preserve">Фикс по матрице 2027.</t>
  </si>
  <si>
    <t xml:space="preserve">Фикс за право + % от выручки, либо MAX(минимальная гарантия; % от выручки). Ориентир — лист «Калькулятор».</t>
  </si>
  <si>
    <t xml:space="preserve">MAX(минимальная гарантия; % × выручка). База — ВЫРУЧКА, не прибыль: прибыль резидента организатор проверить не может.</t>
  </si>
  <si>
    <t xml:space="preserve">Фикс спонсорского взноса (деньги) + оценка бартера. Пакетные уровни: генеральный / официальный / партнёр.</t>
  </si>
  <si>
    <t xml:space="preserve">Порядок оплаты</t>
  </si>
  <si>
    <t xml:space="preserve">Предоплата (Параметры: 50%) при акцепте; остаток — до дедлайна (напр. за 30 дней до фестиваля). Без 100% оплаты — нет допуска к монтажу.</t>
  </si>
  <si>
    <t xml:space="preserve">Минимальная гарантия — авансом до монтажа; % — по итогам, в течение 5–10 раб. дней после отчёта.</t>
  </si>
  <si>
    <t xml:space="preserve">Минимальная гарантия — авансом; доплата % — после сверки выручки.</t>
  </si>
  <si>
    <t xml:space="preserve">По графику: 50% при подписании, 50% до старта фестиваля; бартер — по акту приёма-передачи.</t>
  </si>
  <si>
    <t xml:space="preserve">Учёт выручки / контроль</t>
  </si>
  <si>
    <t xml:space="preserve">Не нужен.</t>
  </si>
  <si>
    <t xml:space="preserve">Обязательно: выгрузка из кассы (ОФД) / эквайринга за каждый день. Право организатора на аудит. Лучше — единый эквайринг/кассовая система фестиваля.</t>
  </si>
  <si>
    <t xml:space="preserve">Обязательно: ежедневный Z-отчёт, выгрузка ОФД, доступ к данным эквайринга. Санкция за сокрытие выручки (штраф, расчёт по средней).</t>
  </si>
  <si>
    <t xml:space="preserve">Отчёт организатора: охваты, контент, фото-отчёт, количество контактов — по KPI договора.</t>
  </si>
  <si>
    <t xml:space="preserve">Лицензии и разрешения</t>
  </si>
  <si>
    <t xml:space="preserve">Резидент: ККТ (54-ФЗ), документы на продукцию, санитарные требования, мед. книжки персонала.</t>
  </si>
  <si>
    <t xml:space="preserve">Розничная продажа алкоголя (кроме пива, сидра, медовухи) — по лицензии (171-ФЗ); ЕГАИС; региональные ограничения продажи алкоголя на массовых мероприятиях — проверить для Москвы и СПб под конкретную площадку и даты.</t>
  </si>
  <si>
    <t xml:space="preserve">Как в оферте + ККТ резидента обязательна (иначе выручку не проверить).</t>
  </si>
  <si>
    <t xml:space="preserve">Если спонсор торгует — как в оферте. Маркировка рекламы (ERID) для онлайн-размещений по 38-ФЗ.</t>
  </si>
  <si>
    <t xml:space="preserve">Обязанности организатора</t>
  </si>
  <si>
    <t xml:space="preserve">Место, застройка, подключения, аккредитация, разрешения, вывоз мусора — по пакету.</t>
  </si>
  <si>
    <t xml:space="preserve">Эксклюзив категории напитков в ВИП-зоне (запрет конкурентов), застройка бара, логистика, ВИП-трафик.</t>
  </si>
  <si>
    <t xml:space="preserve">Место, услуги, трафик, промо резидента.</t>
  </si>
  <si>
    <t xml:space="preserve">Выполнение рекламного пакета, эксклюзив категории, отчёт.</t>
  </si>
  <si>
    <t xml:space="preserve">Обязанности контрагента</t>
  </si>
  <si>
    <t xml:space="preserve">Своевременная оплата, соблюдение правил площадки, тайминга монтажа/демонтажа, санитарии, меню по согласованию.</t>
  </si>
  <si>
    <t xml:space="preserve">Ассортимент и цены по согласованию, стандарты сервиса, персонал, лицензии, соблюдение запрета продажи несовершеннолетним.</t>
  </si>
  <si>
    <t xml:space="preserve">Работа все дни фестиваля, согласованное меню и цены, отчётность, использование ККТ.</t>
  </si>
  <si>
    <t xml:space="preserve">Оплата, предоставление материалов (логотипы, макеты) в сроки, согласование активаций.</t>
  </si>
  <si>
    <t xml:space="preserve">Ответственность / штрафы</t>
  </si>
  <si>
    <t xml:space="preserve">Штраф за нарушения правил (санитария, дресс-код, выход за границы точки, нарушение тайминга). Предоплата не возвращается при отказе позднее дедлайна.</t>
  </si>
  <si>
    <t xml:space="preserve">Штраф за перебои в работе бара, за нарушение эксклюзива организатором (зеркально), за продажу без лицензии — расторжение.</t>
  </si>
  <si>
    <t xml:space="preserve">Штраф за сокрытие выручки; закрытие точки раньше времени; невыход на фестиваль — удержание минимальной гарантии.</t>
  </si>
  <si>
    <t xml:space="preserve">Пропорциональное снижение взноса при невыполнении пакета организатором; штраф за просрочку оплаты.</t>
  </si>
  <si>
    <t xml:space="preserve">Отмена / форс-мажор</t>
  </si>
  <si>
    <t xml:space="preserve">Шкала возврата: напр. &gt;60 дней — 100% минус 10%, 30–60 — 50%, &lt;30 — 0%. Отмена по вине организатора — 100%. Погода — не форс-мажор (фестиваль на открытом воздухе).</t>
  </si>
  <si>
    <t xml:space="preserve">Отдельно прописать: отмена/сокращение дней, погода, запрет продажи алкоголя властями.</t>
  </si>
  <si>
    <t xml:space="preserve">Как в оферте; минимальная гарантия пересчитывается пропорционально дням работы.</t>
  </si>
  <si>
    <t xml:space="preserve">Перенос на другой фестиваль/даты или возврат пропорционально невыполненному объёму.</t>
  </si>
  <si>
    <t xml:space="preserve">НДС и закрывающие документы</t>
  </si>
  <si>
    <t xml:space="preserve">Счёт, акт оказанных услуг, УПД. Учесть НДС организатора в цене (указать: «цена включает / не включает НДС»).</t>
  </si>
  <si>
    <t xml:space="preserve">Акт за фикс + акт за % по отчёту.</t>
  </si>
  <si>
    <t xml:space="preserve">Акт с расчётом % по отчёту о выручке.</t>
  </si>
  <si>
    <t xml:space="preserve">Акт + фото-отчёт / отчёт по KPI. Бартер — УПД с двух сторон, НДС по обеим.</t>
  </si>
  <si>
    <t xml:space="preserve">Ключевые риски</t>
  </si>
  <si>
    <t xml:space="preserve">Отказ резидента после брони места; споры об объёме услуг — снимается детальным приложением «Состав пакета».</t>
  </si>
  <si>
    <t xml:space="preserve">Лицензии и ограничения на алкоголь; непрозрачная выручка; конфликт эксклюзива с другими резидентами.</t>
  </si>
  <si>
    <t xml:space="preserve">Занижение выручки; организатор берёт риск слабых продаж; нагрузка на команду по сверкам.</t>
  </si>
  <si>
    <t xml:space="preserve">Невыполнимые KPI охватов; расплывчатый бартер; маркировка рекламы.</t>
  </si>
  <si>
    <t xml:space="preserve">KPI для контроля</t>
  </si>
  <si>
    <t xml:space="preserve">Доля оплат до дедлайна; % заполнения площадки.</t>
  </si>
  <si>
    <t xml:space="preserve">Выручка бара / день; средний чек; доля % в доходе.</t>
  </si>
  <si>
    <t xml:space="preserve">Выручка / кв.м; фактический доход vs фикс-пакет.</t>
  </si>
  <si>
    <t xml:space="preserve">Выполнение пакета 100%; охваты; продление на следующий сезон.</t>
  </si>
  <si>
    <t xml:space="preserve">Приложения к договору</t>
  </si>
  <si>
    <t xml:space="preserve">Состав пакета (из матрицы), план площадки, правила для резидентов, тайминг монтажа/демонтажа, шкала штрафов.</t>
  </si>
  <si>
    <t xml:space="preserve">Ассортимент и цены, план бара, стандарты сервиса, форма ежедневного отчёта.</t>
  </si>
  <si>
    <t xml:space="preserve">Форма отчёта о выручке, порядок сверки, состав пакета.</t>
  </si>
  <si>
    <t xml:space="preserve">Спонсорский пакет, медиаплан, макеты, форма отчёта, акт бартера.</t>
  </si>
  <si>
    <t xml:space="preserve">Калькулятор: фикс vs деление выручки</t>
  </si>
  <si>
    <t xml:space="preserve">Значения в жёлтых ячейках — пример для проверки формата, замените своими цифрами (выручку берите из факта 2026).</t>
  </si>
  <si>
    <t xml:space="preserve">Бар ВИП (пример)</t>
  </si>
  <si>
    <t xml:space="preserve">Прогноз выручки точки за фестиваль, ₽</t>
  </si>
  <si>
    <t xml:space="preserve">Доля организатора, %</t>
  </si>
  <si>
    <t xml:space="preserve">Минимальная гарантия, ₽</t>
  </si>
  <si>
    <t xml:space="preserve">Цена фикс-пакета для сравнения, ₽</t>
  </si>
  <si>
    <t xml:space="preserve">Доход организатора по % (без гарантии), ₽</t>
  </si>
  <si>
    <t xml:space="preserve">Доход организатора с гарантией = MAX(гарантия; %), ₽</t>
  </si>
  <si>
    <t xml:space="preserve">Разница с фикс-пакетом, ₽</t>
  </si>
  <si>
    <t xml:space="preserve">Выручка точки, при которой % = фикс, ₽</t>
  </si>
  <si>
    <t xml:space="preserve">Вывод</t>
  </si>
  <si>
    <t xml:space="preserve">Деление выручки с резидентом (пример: Корнер №4, Москва)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</si>
</sst>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;\-0%;\—"/>
    <numFmt numFmtId="166" formatCode="#,##0"/>
    <numFmt numFmtId="167" formatCode="#,##0&quot; ₽&quot;;\-#,##0&quot; ₽&quot;;\—"/>
    <numFmt numFmtId="168" formatCode="#,##0&quot; ₽&quot;;[RED]\-#,##0&quot; ₽&quot;;\0"/>
    <numFmt numFmtId="169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5"/>
    <col collapsed="false" customWidth="true" hidden="false" outlineLevel="0" max="3" min="3" style="0" width="16"/>
    <col collapsed="false" customWidth="true" hidden="false" outlineLevel="0" max="4" min="4" style="0" width="80"/>
  </cols>
  <sheetData>
    <row r="1" customFormat="false" ht="16.1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C3" s="2" t="s">
        <v>2</v>
      </c>
      <c r="D3" s="2" t="s">
        <v>3</v>
      </c>
    </row>
    <row r="4" customFormat="false" ht="23.85" hidden="false" customHeight="false" outlineLevel="0" collapsed="false">
      <c r="B4" s="3" t="s">
        <v>4</v>
      </c>
      <c r="C4" s="4" t="n">
        <v>0.1</v>
      </c>
      <c r="D4" s="3" t="s">
        <v>5</v>
      </c>
    </row>
    <row r="5" customFormat="false" ht="15" hidden="false" customHeight="false" outlineLevel="0" collapsed="false">
      <c r="B5" s="3" t="s">
        <v>6</v>
      </c>
      <c r="C5" s="5" t="n">
        <v>5000</v>
      </c>
      <c r="D5" s="3" t="s">
        <v>7</v>
      </c>
    </row>
    <row r="6" customFormat="false" ht="23.85" hidden="false" customHeight="false" outlineLevel="0" collapsed="false">
      <c r="B6" s="3" t="s">
        <v>8</v>
      </c>
      <c r="C6" s="4" t="n">
        <v>0.05</v>
      </c>
      <c r="D6" s="3" t="s">
        <v>9</v>
      </c>
    </row>
    <row r="7" customFormat="false" ht="15" hidden="false" customHeight="false" outlineLevel="0" collapsed="false">
      <c r="B7" s="3" t="s">
        <v>10</v>
      </c>
      <c r="C7" s="4" t="n">
        <v>0.5</v>
      </c>
      <c r="D7" s="3" t="s">
        <v>11</v>
      </c>
    </row>
    <row r="8" customFormat="false" ht="23.85" hidden="false" customHeight="false" outlineLevel="0" collapsed="false">
      <c r="B8" s="3" t="s">
        <v>12</v>
      </c>
      <c r="C8" s="4" t="n">
        <v>0.2</v>
      </c>
      <c r="D8" s="3" t="s">
        <v>13</v>
      </c>
    </row>
    <row r="9" customFormat="false" ht="15" hidden="false" customHeight="false" outlineLevel="0" collapsed="false">
      <c r="B9" s="3" t="s">
        <v>14</v>
      </c>
      <c r="C9" s="4" t="n">
        <v>0.25</v>
      </c>
      <c r="D9" s="3" t="s">
        <v>15</v>
      </c>
    </row>
    <row r="12" customFormat="false" ht="15" hidden="false" customHeight="false" outlineLevel="0" collapsed="false">
      <c r="B12" s="6" t="s">
        <v>16</v>
      </c>
    </row>
    <row r="13" customFormat="false" ht="15" hidden="false" customHeight="false" outlineLevel="0" collapsed="false">
      <c r="B13" s="7" t="s">
        <v>17</v>
      </c>
      <c r="C13" s="8" t="s">
        <v>18</v>
      </c>
    </row>
    <row r="14" customFormat="false" ht="15" hidden="false" customHeight="false" outlineLevel="0" collapsed="false">
      <c r="B14" s="9" t="s">
        <v>19</v>
      </c>
      <c r="C14" s="8" t="s">
        <v>20</v>
      </c>
    </row>
    <row r="15" customFormat="false" ht="15" hidden="false" customHeight="false" outlineLevel="0" collapsed="false">
      <c r="B15" s="8" t="s">
        <v>21</v>
      </c>
      <c r="C15" s="8" t="s">
        <v>22</v>
      </c>
    </row>
    <row r="16" customFormat="false" ht="15" hidden="false" customHeight="false" outlineLevel="0" collapsed="false">
      <c r="B16" s="8" t="s">
        <v>23</v>
      </c>
      <c r="C16" s="8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V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7"/>
    <col collapsed="false" customWidth="true" hidden="false" outlineLevel="0" max="4" min="4" style="0" width="20"/>
    <col collapsed="false" customWidth="true" hidden="false" outlineLevel="0" max="6" min="5" style="0" width="14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5" min="14" style="0" width="12"/>
    <col collapsed="false" customWidth="true" hidden="false" outlineLevel="0" max="16" min="16" style="0" width="10"/>
    <col collapsed="false" customWidth="true" hidden="false" outlineLevel="0" max="17" min="17" style="0" width="38"/>
    <col collapsed="false" customWidth="true" hidden="false" outlineLevel="0" max="19" min="18" style="0" width="20"/>
    <col collapsed="false" customWidth="true" hidden="false" outlineLevel="0" max="21" min="20" style="0" width="12"/>
    <col collapsed="false" customWidth="true" hidden="false" outlineLevel="0" max="22" min="22" style="0" width="16"/>
  </cols>
  <sheetData>
    <row r="1" customFormat="false" ht="16.15" hidden="false" customHeight="false" outlineLevel="0" collapsed="false">
      <c r="B1" s="1" t="s">
        <v>25</v>
      </c>
    </row>
    <row r="2" customFormat="false" ht="27.75" hidden="false" customHeight="true" outlineLevel="0" collapsed="false">
      <c r="B2" s="10" t="s">
        <v>26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</row>
    <row r="4" customFormat="false" ht="45" hidden="false" customHeight="true" outlineLevel="0" collapsed="false">
      <c r="B4" s="11" t="s">
        <v>27</v>
      </c>
      <c r="C4" s="11" t="s">
        <v>28</v>
      </c>
      <c r="D4" s="11" t="s">
        <v>29</v>
      </c>
      <c r="E4" s="11" t="s">
        <v>30</v>
      </c>
      <c r="F4" s="11" t="s">
        <v>31</v>
      </c>
      <c r="G4" s="11" t="s">
        <v>32</v>
      </c>
      <c r="H4" s="11" t="s">
        <v>33</v>
      </c>
      <c r="I4" s="11" t="s">
        <v>34</v>
      </c>
      <c r="J4" s="11" t="s">
        <v>35</v>
      </c>
      <c r="K4" s="11" t="s">
        <v>36</v>
      </c>
      <c r="L4" s="11" t="s">
        <v>37</v>
      </c>
      <c r="M4" s="11" t="s">
        <v>38</v>
      </c>
      <c r="N4" s="11" t="s">
        <v>39</v>
      </c>
      <c r="O4" s="11" t="s">
        <v>40</v>
      </c>
      <c r="P4" s="11" t="s">
        <v>41</v>
      </c>
      <c r="Q4" s="11" t="s">
        <v>42</v>
      </c>
      <c r="R4" s="11" t="s">
        <v>43</v>
      </c>
      <c r="S4" s="11" t="s">
        <v>44</v>
      </c>
      <c r="T4" s="11" t="s">
        <v>45</v>
      </c>
      <c r="U4" s="11" t="s">
        <v>46</v>
      </c>
      <c r="V4" s="11" t="s">
        <v>47</v>
      </c>
    </row>
    <row r="5" customFormat="false" ht="15" hidden="false" customHeight="false" outlineLevel="0" collapsed="false">
      <c r="B5" s="12" t="s">
        <v>48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</row>
    <row r="6" customFormat="false" ht="23.85" hidden="false" customHeight="false" outlineLevel="0" collapsed="false">
      <c r="B6" s="14" t="s">
        <v>49</v>
      </c>
      <c r="C6" s="14" t="s">
        <v>50</v>
      </c>
      <c r="D6" s="14" t="s">
        <v>51</v>
      </c>
      <c r="E6" s="15" t="n">
        <v>195000</v>
      </c>
      <c r="F6" s="15" t="n">
        <v>160000</v>
      </c>
      <c r="G6" s="14" t="s">
        <v>52</v>
      </c>
      <c r="H6" s="16" t="n">
        <f aca="false">Параметры!$C$4</f>
        <v>0.1</v>
      </c>
      <c r="I6" s="15" t="n">
        <f aca="false">IF(E6="","",ROUND(E6*(1+$H6)/Параметры!$C$5,0)*Параметры!$C$5)</f>
        <v>215000</v>
      </c>
      <c r="J6" s="15" t="n">
        <f aca="false">IF(F6="","",ROUND(F6*(1+$H6)/Параметры!$C$5,0)*Параметры!$C$5)</f>
        <v>175000</v>
      </c>
      <c r="K6" s="14" t="s">
        <v>53</v>
      </c>
      <c r="L6" s="14" t="n">
        <v>9</v>
      </c>
      <c r="M6" s="14" t="n">
        <v>4</v>
      </c>
      <c r="N6" s="14" t="n">
        <v>2</v>
      </c>
      <c r="O6" s="14" t="n">
        <v>2</v>
      </c>
      <c r="P6" s="14" t="s">
        <v>54</v>
      </c>
      <c r="Q6" s="14" t="s">
        <v>55</v>
      </c>
      <c r="R6" s="14" t="s">
        <v>56</v>
      </c>
      <c r="S6" s="14"/>
      <c r="T6" s="17"/>
      <c r="U6" s="17"/>
      <c r="V6" s="15" t="str">
        <f aca="false">IF(N(I6)*N(T6)+N(J6)*N(U6)=0,"",N(I6)*N(T6)+N(J6)*N(U6))</f>
        <v/>
      </c>
    </row>
    <row r="7" customFormat="false" ht="23.85" hidden="false" customHeight="false" outlineLevel="0" collapsed="false">
      <c r="B7" s="14" t="s">
        <v>57</v>
      </c>
      <c r="C7" s="14" t="s">
        <v>50</v>
      </c>
      <c r="D7" s="14" t="s">
        <v>51</v>
      </c>
      <c r="E7" s="15" t="n">
        <v>240000</v>
      </c>
      <c r="F7" s="15" t="n">
        <v>180000</v>
      </c>
      <c r="G7" s="14" t="s">
        <v>52</v>
      </c>
      <c r="H7" s="16" t="n">
        <f aca="false">Параметры!$C$4</f>
        <v>0.1</v>
      </c>
      <c r="I7" s="15" t="n">
        <f aca="false">IF(E7="","",ROUND(E7*(1+$H7)/Параметры!$C$5,0)*Параметры!$C$5)</f>
        <v>265000</v>
      </c>
      <c r="J7" s="15" t="n">
        <f aca="false">IF(F7="","",ROUND(F7*(1+$H7)/Параметры!$C$5,0)*Параметры!$C$5)</f>
        <v>200000</v>
      </c>
      <c r="K7" s="14" t="s">
        <v>54</v>
      </c>
      <c r="L7" s="14" t="n">
        <v>9</v>
      </c>
      <c r="M7" s="14" t="n">
        <v>4</v>
      </c>
      <c r="N7" s="14" t="n">
        <v>5</v>
      </c>
      <c r="O7" s="14" t="n">
        <v>5</v>
      </c>
      <c r="P7" s="14" t="s">
        <v>54</v>
      </c>
      <c r="Q7" s="14" t="s">
        <v>55</v>
      </c>
      <c r="R7" s="14" t="s">
        <v>56</v>
      </c>
      <c r="S7" s="14"/>
      <c r="T7" s="17"/>
      <c r="U7" s="17"/>
      <c r="V7" s="15" t="str">
        <f aca="false">IF(N(I7)*N(T7)+N(J7)*N(U7)=0,"",N(I7)*N(T7)+N(J7)*N(U7))</f>
        <v/>
      </c>
    </row>
    <row r="8" customFormat="false" ht="23.85" hidden="false" customHeight="false" outlineLevel="0" collapsed="false">
      <c r="B8" s="14" t="s">
        <v>58</v>
      </c>
      <c r="C8" s="14" t="s">
        <v>50</v>
      </c>
      <c r="D8" s="14" t="s">
        <v>51</v>
      </c>
      <c r="E8" s="15" t="n">
        <v>260000</v>
      </c>
      <c r="F8" s="15" t="n">
        <v>200000</v>
      </c>
      <c r="G8" s="14" t="s">
        <v>52</v>
      </c>
      <c r="H8" s="16" t="n">
        <f aca="false">Параметры!$C$4</f>
        <v>0.1</v>
      </c>
      <c r="I8" s="15" t="n">
        <f aca="false">IF(E8="","",ROUND(E8*(1+$H8)/Параметры!$C$5,0)*Параметры!$C$5)</f>
        <v>285000</v>
      </c>
      <c r="J8" s="15" t="n">
        <f aca="false">IF(F8="","",ROUND(F8*(1+$H8)/Параметры!$C$5,0)*Параметры!$C$5)</f>
        <v>220000</v>
      </c>
      <c r="K8" s="14" t="s">
        <v>54</v>
      </c>
      <c r="L8" s="14" t="n">
        <v>9</v>
      </c>
      <c r="M8" s="14" t="n">
        <v>4</v>
      </c>
      <c r="N8" s="14" t="n">
        <v>10</v>
      </c>
      <c r="O8" s="14" t="s">
        <v>59</v>
      </c>
      <c r="P8" s="14" t="n">
        <v>5</v>
      </c>
      <c r="Q8" s="14" t="s">
        <v>55</v>
      </c>
      <c r="R8" s="14" t="s">
        <v>56</v>
      </c>
      <c r="S8" s="14" t="s">
        <v>60</v>
      </c>
      <c r="T8" s="17"/>
      <c r="U8" s="17"/>
      <c r="V8" s="15" t="str">
        <f aca="false">IF(N(I8)*N(T8)+N(J8)*N(U8)=0,"",N(I8)*N(T8)+N(J8)*N(U8))</f>
        <v/>
      </c>
    </row>
    <row r="9" customFormat="false" ht="23.85" hidden="false" customHeight="false" outlineLevel="0" collapsed="false">
      <c r="B9" s="14" t="s">
        <v>61</v>
      </c>
      <c r="C9" s="14" t="s">
        <v>50</v>
      </c>
      <c r="D9" s="14" t="s">
        <v>51</v>
      </c>
      <c r="E9" s="15" t="n">
        <v>280000</v>
      </c>
      <c r="F9" s="15" t="n">
        <v>220000</v>
      </c>
      <c r="G9" s="14" t="s">
        <v>52</v>
      </c>
      <c r="H9" s="16" t="n">
        <f aca="false">Параметры!$C$4</f>
        <v>0.1</v>
      </c>
      <c r="I9" s="15" t="n">
        <f aca="false">IF(E9="","",ROUND(E9*(1+$H9)/Параметры!$C$5,0)*Параметры!$C$5)</f>
        <v>310000</v>
      </c>
      <c r="J9" s="15" t="n">
        <f aca="false">IF(F9="","",ROUND(F9*(1+$H9)/Параметры!$C$5,0)*Параметры!$C$5)</f>
        <v>240000</v>
      </c>
      <c r="K9" s="14" t="s">
        <v>54</v>
      </c>
      <c r="L9" s="14" t="n">
        <v>9</v>
      </c>
      <c r="M9" s="14" t="n">
        <v>4</v>
      </c>
      <c r="N9" s="14" t="n">
        <v>15</v>
      </c>
      <c r="O9" s="14" t="s">
        <v>62</v>
      </c>
      <c r="P9" s="14" t="n">
        <v>10</v>
      </c>
      <c r="Q9" s="14" t="s">
        <v>55</v>
      </c>
      <c r="R9" s="14" t="s">
        <v>56</v>
      </c>
      <c r="S9" s="14" t="s">
        <v>60</v>
      </c>
      <c r="T9" s="17"/>
      <c r="U9" s="17"/>
      <c r="V9" s="15" t="str">
        <f aca="false">IF(N(I9)*N(T9)+N(J9)*N(U9)=0,"",N(I9)*N(T9)+N(J9)*N(U9))</f>
        <v/>
      </c>
    </row>
    <row r="10" customFormat="false" ht="23.85" hidden="false" customHeight="false" outlineLevel="0" collapsed="false">
      <c r="B10" s="14" t="s">
        <v>63</v>
      </c>
      <c r="C10" s="14" t="s">
        <v>50</v>
      </c>
      <c r="D10" s="14" t="s">
        <v>54</v>
      </c>
      <c r="E10" s="15" t="n">
        <v>250000</v>
      </c>
      <c r="F10" s="15"/>
      <c r="G10" s="14" t="s">
        <v>52</v>
      </c>
      <c r="H10" s="16" t="n">
        <f aca="false">Параметры!$C$4</f>
        <v>0.1</v>
      </c>
      <c r="I10" s="15" t="n">
        <f aca="false">IF(E10="","",ROUND(E10*(1+$H10)/Параметры!$C$5,0)*Параметры!$C$5)</f>
        <v>275000</v>
      </c>
      <c r="J10" s="15" t="str">
        <f aca="false">IF(F10="","",ROUND(F10*(1+$H10)/Параметры!$C$5,0)*Параметры!$C$5)</f>
        <v/>
      </c>
      <c r="K10" s="14" t="s">
        <v>54</v>
      </c>
      <c r="L10" s="14" t="n">
        <v>9</v>
      </c>
      <c r="M10" s="14" t="n">
        <v>4</v>
      </c>
      <c r="N10" s="14" t="n">
        <v>10</v>
      </c>
      <c r="O10" s="14" t="s">
        <v>59</v>
      </c>
      <c r="P10" s="14" t="n">
        <v>7</v>
      </c>
      <c r="Q10" s="14" t="s">
        <v>64</v>
      </c>
      <c r="R10" s="14" t="s">
        <v>56</v>
      </c>
      <c r="S10" s="14" t="s">
        <v>65</v>
      </c>
      <c r="T10" s="17"/>
      <c r="U10" s="17"/>
      <c r="V10" s="15" t="str">
        <f aca="false">IF(N(I10)*N(T10)+N(J10)*N(U10)=0,"",N(I10)*N(T10)+N(J10)*N(U10))</f>
        <v/>
      </c>
    </row>
    <row r="11" customFormat="false" ht="15" hidden="false" customHeight="false" outlineLevel="0" collapsed="false">
      <c r="B11" s="12" t="s">
        <v>66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</row>
    <row r="12" customFormat="false" ht="23.85" hidden="false" customHeight="false" outlineLevel="0" collapsed="false">
      <c r="B12" s="14" t="s">
        <v>49</v>
      </c>
      <c r="C12" s="14" t="s">
        <v>67</v>
      </c>
      <c r="D12" s="14" t="s">
        <v>51</v>
      </c>
      <c r="E12" s="15" t="n">
        <v>180000</v>
      </c>
      <c r="F12" s="15" t="n">
        <v>160000</v>
      </c>
      <c r="G12" s="14" t="s">
        <v>52</v>
      </c>
      <c r="H12" s="16" t="n">
        <f aca="false">Параметры!$C$4</f>
        <v>0.1</v>
      </c>
      <c r="I12" s="15" t="n">
        <f aca="false">IF(E12="","",ROUND(E12*(1+$H12)/Параметры!$C$5,0)*Параметры!$C$5)</f>
        <v>200000</v>
      </c>
      <c r="J12" s="15" t="n">
        <f aca="false">IF(F12="","",ROUND(F12*(1+$H12)/Параметры!$C$5,0)*Параметры!$C$5)</f>
        <v>175000</v>
      </c>
      <c r="K12" s="14" t="s">
        <v>53</v>
      </c>
      <c r="L12" s="14" t="n">
        <v>9</v>
      </c>
      <c r="M12" s="14" t="n">
        <v>4</v>
      </c>
      <c r="N12" s="14" t="n">
        <v>2</v>
      </c>
      <c r="O12" s="14" t="n">
        <v>2</v>
      </c>
      <c r="P12" s="14" t="s">
        <v>54</v>
      </c>
      <c r="Q12" s="14" t="s">
        <v>55</v>
      </c>
      <c r="R12" s="14" t="s">
        <v>56</v>
      </c>
      <c r="S12" s="14"/>
      <c r="T12" s="17"/>
      <c r="U12" s="17"/>
      <c r="V12" s="15" t="str">
        <f aca="false">IF(N(I12)*N(T12)+N(J12)*N(U12)=0,"",N(I12)*N(T12)+N(J12)*N(U12))</f>
        <v/>
      </c>
    </row>
    <row r="13" customFormat="false" ht="23.85" hidden="false" customHeight="false" outlineLevel="0" collapsed="false">
      <c r="B13" s="14" t="s">
        <v>57</v>
      </c>
      <c r="C13" s="14" t="s">
        <v>67</v>
      </c>
      <c r="D13" s="14" t="s">
        <v>51</v>
      </c>
      <c r="E13" s="15" t="n">
        <v>220000</v>
      </c>
      <c r="F13" s="15" t="n">
        <v>180000</v>
      </c>
      <c r="G13" s="14" t="s">
        <v>52</v>
      </c>
      <c r="H13" s="16" t="n">
        <f aca="false">Параметры!$C$4</f>
        <v>0.1</v>
      </c>
      <c r="I13" s="15" t="n">
        <f aca="false">IF(E13="","",ROUND(E13*(1+$H13)/Параметры!$C$5,0)*Параметры!$C$5)</f>
        <v>240000</v>
      </c>
      <c r="J13" s="15" t="n">
        <f aca="false">IF(F13="","",ROUND(F13*(1+$H13)/Параметры!$C$5,0)*Параметры!$C$5)</f>
        <v>200000</v>
      </c>
      <c r="K13" s="14" t="s">
        <v>54</v>
      </c>
      <c r="L13" s="14" t="n">
        <v>9</v>
      </c>
      <c r="M13" s="14" t="n">
        <v>4</v>
      </c>
      <c r="N13" s="14" t="n">
        <v>5</v>
      </c>
      <c r="O13" s="14" t="n">
        <v>5</v>
      </c>
      <c r="P13" s="14" t="s">
        <v>54</v>
      </c>
      <c r="Q13" s="14" t="s">
        <v>55</v>
      </c>
      <c r="R13" s="14" t="s">
        <v>56</v>
      </c>
      <c r="S13" s="14"/>
      <c r="T13" s="17"/>
      <c r="U13" s="17"/>
      <c r="V13" s="15" t="str">
        <f aca="false">IF(N(I13)*N(T13)+N(J13)*N(U13)=0,"",N(I13)*N(T13)+N(J13)*N(U13))</f>
        <v/>
      </c>
    </row>
    <row r="14" customFormat="false" ht="23.85" hidden="false" customHeight="false" outlineLevel="0" collapsed="false">
      <c r="B14" s="14" t="s">
        <v>58</v>
      </c>
      <c r="C14" s="14" t="s">
        <v>67</v>
      </c>
      <c r="D14" s="14" t="s">
        <v>51</v>
      </c>
      <c r="E14" s="15" t="n">
        <v>240000</v>
      </c>
      <c r="F14" s="15" t="n">
        <v>200000</v>
      </c>
      <c r="G14" s="14" t="s">
        <v>52</v>
      </c>
      <c r="H14" s="16" t="n">
        <f aca="false">Параметры!$C$4</f>
        <v>0.1</v>
      </c>
      <c r="I14" s="15" t="n">
        <f aca="false">IF(E14="","",ROUND(E14*(1+$H14)/Параметры!$C$5,0)*Параметры!$C$5)</f>
        <v>265000</v>
      </c>
      <c r="J14" s="15" t="n">
        <f aca="false">IF(F14="","",ROUND(F14*(1+$H14)/Параметры!$C$5,0)*Параметры!$C$5)</f>
        <v>220000</v>
      </c>
      <c r="K14" s="14" t="s">
        <v>54</v>
      </c>
      <c r="L14" s="14" t="n">
        <v>9</v>
      </c>
      <c r="M14" s="14" t="n">
        <v>4</v>
      </c>
      <c r="N14" s="14" t="n">
        <v>10</v>
      </c>
      <c r="O14" s="14" t="s">
        <v>59</v>
      </c>
      <c r="P14" s="14" t="n">
        <v>5</v>
      </c>
      <c r="Q14" s="14" t="s">
        <v>55</v>
      </c>
      <c r="R14" s="14" t="s">
        <v>56</v>
      </c>
      <c r="S14" s="14" t="s">
        <v>60</v>
      </c>
      <c r="T14" s="17"/>
      <c r="U14" s="17"/>
      <c r="V14" s="15" t="str">
        <f aca="false">IF(N(I14)*N(T14)+N(J14)*N(U14)=0,"",N(I14)*N(T14)+N(J14)*N(U14))</f>
        <v/>
      </c>
    </row>
    <row r="15" customFormat="false" ht="23.85" hidden="false" customHeight="false" outlineLevel="0" collapsed="false">
      <c r="B15" s="14" t="s">
        <v>61</v>
      </c>
      <c r="C15" s="14" t="s">
        <v>67</v>
      </c>
      <c r="D15" s="14" t="s">
        <v>51</v>
      </c>
      <c r="E15" s="15" t="n">
        <v>260000</v>
      </c>
      <c r="F15" s="15" t="n">
        <v>220000</v>
      </c>
      <c r="G15" s="14" t="s">
        <v>52</v>
      </c>
      <c r="H15" s="16" t="n">
        <f aca="false">Параметры!$C$4</f>
        <v>0.1</v>
      </c>
      <c r="I15" s="15" t="n">
        <f aca="false">IF(E15="","",ROUND(E15*(1+$H15)/Параметры!$C$5,0)*Параметры!$C$5)</f>
        <v>285000</v>
      </c>
      <c r="J15" s="15" t="n">
        <f aca="false">IF(F15="","",ROUND(F15*(1+$H15)/Параметры!$C$5,0)*Параметры!$C$5)</f>
        <v>240000</v>
      </c>
      <c r="K15" s="14" t="s">
        <v>54</v>
      </c>
      <c r="L15" s="14" t="n">
        <v>9</v>
      </c>
      <c r="M15" s="14" t="n">
        <v>4</v>
      </c>
      <c r="N15" s="14" t="n">
        <v>15</v>
      </c>
      <c r="O15" s="14" t="s">
        <v>62</v>
      </c>
      <c r="P15" s="14" t="n">
        <v>10</v>
      </c>
      <c r="Q15" s="14" t="s">
        <v>55</v>
      </c>
      <c r="R15" s="14" t="s">
        <v>56</v>
      </c>
      <c r="S15" s="14" t="s">
        <v>60</v>
      </c>
      <c r="T15" s="17"/>
      <c r="U15" s="17"/>
      <c r="V15" s="15" t="str">
        <f aca="false">IF(N(I15)*N(T15)+N(J15)*N(U15)=0,"",N(I15)*N(T15)+N(J15)*N(U15))</f>
        <v/>
      </c>
    </row>
    <row r="16" customFormat="false" ht="15" hidden="false" customHeight="false" outlineLevel="0" collapsed="false">
      <c r="B16" s="14" t="s">
        <v>68</v>
      </c>
      <c r="C16" s="14" t="s">
        <v>67</v>
      </c>
      <c r="D16" s="14" t="s">
        <v>54</v>
      </c>
      <c r="E16" s="15" t="n">
        <v>250000</v>
      </c>
      <c r="F16" s="15"/>
      <c r="G16" s="14" t="s">
        <v>52</v>
      </c>
      <c r="H16" s="16" t="n">
        <f aca="false">Параметры!$C$4</f>
        <v>0.1</v>
      </c>
      <c r="I16" s="15" t="n">
        <f aca="false">IF(E16="","",ROUND(E16*(1+$H16)/Параметры!$C$5,0)*Параметры!$C$5)</f>
        <v>275000</v>
      </c>
      <c r="J16" s="15" t="str">
        <f aca="false">IF(F16="","",ROUND(F16*(1+$H16)/Параметры!$C$5,0)*Параметры!$C$5)</f>
        <v/>
      </c>
      <c r="K16" s="14" t="s">
        <v>54</v>
      </c>
      <c r="L16" s="14" t="n">
        <v>10</v>
      </c>
      <c r="M16" s="14" t="s">
        <v>54</v>
      </c>
      <c r="N16" s="14" t="n">
        <v>10</v>
      </c>
      <c r="O16" s="14" t="s">
        <v>59</v>
      </c>
      <c r="P16" s="14" t="n">
        <v>5</v>
      </c>
      <c r="Q16" s="14" t="s">
        <v>69</v>
      </c>
      <c r="R16" s="14" t="s">
        <v>56</v>
      </c>
      <c r="S16" s="14" t="s">
        <v>60</v>
      </c>
      <c r="T16" s="17"/>
      <c r="U16" s="17"/>
      <c r="V16" s="15" t="str">
        <f aca="false">IF(N(I16)*N(T16)+N(J16)*N(U16)=0,"",N(I16)*N(T16)+N(J16)*N(U16))</f>
        <v/>
      </c>
    </row>
    <row r="17" customFormat="false" ht="23.85" hidden="false" customHeight="false" outlineLevel="0" collapsed="false">
      <c r="B17" s="14" t="s">
        <v>63</v>
      </c>
      <c r="C17" s="14" t="s">
        <v>67</v>
      </c>
      <c r="D17" s="14" t="s">
        <v>54</v>
      </c>
      <c r="E17" s="15" t="n">
        <v>230000</v>
      </c>
      <c r="F17" s="15"/>
      <c r="G17" s="14" t="s">
        <v>52</v>
      </c>
      <c r="H17" s="16" t="n">
        <f aca="false">Параметры!$C$4</f>
        <v>0.1</v>
      </c>
      <c r="I17" s="15" t="n">
        <f aca="false">IF(E17="","",ROUND(E17*(1+$H17)/Параметры!$C$5,0)*Параметры!$C$5)</f>
        <v>255000</v>
      </c>
      <c r="J17" s="15" t="str">
        <f aca="false">IF(F17="","",ROUND(F17*(1+$H17)/Параметры!$C$5,0)*Параметры!$C$5)</f>
        <v/>
      </c>
      <c r="K17" s="14" t="s">
        <v>54</v>
      </c>
      <c r="L17" s="14" t="n">
        <v>9</v>
      </c>
      <c r="M17" s="14" t="n">
        <v>4</v>
      </c>
      <c r="N17" s="14" t="n">
        <v>10</v>
      </c>
      <c r="O17" s="14" t="s">
        <v>59</v>
      </c>
      <c r="P17" s="14" t="n">
        <v>7</v>
      </c>
      <c r="Q17" s="14" t="s">
        <v>64</v>
      </c>
      <c r="R17" s="14" t="s">
        <v>56</v>
      </c>
      <c r="S17" s="14" t="s">
        <v>65</v>
      </c>
      <c r="T17" s="17"/>
      <c r="U17" s="17"/>
      <c r="V17" s="15" t="str">
        <f aca="false">IF(N(I17)*N(T17)+N(J17)*N(U17)=0,"",N(I17)*N(T17)+N(J17)*N(U17))</f>
        <v/>
      </c>
    </row>
    <row r="18" customFormat="false" ht="15" hidden="false" customHeight="false" outlineLevel="0" collapsed="false">
      <c r="B18" s="12" t="s">
        <v>70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</row>
    <row r="19" customFormat="false" ht="23.85" hidden="false" customHeight="false" outlineLevel="0" collapsed="false">
      <c r="B19" s="14" t="s">
        <v>49</v>
      </c>
      <c r="C19" s="14" t="s">
        <v>71</v>
      </c>
      <c r="D19" s="14" t="s">
        <v>72</v>
      </c>
      <c r="E19" s="15" t="n">
        <v>320000</v>
      </c>
      <c r="F19" s="15" t="n">
        <v>280000</v>
      </c>
      <c r="G19" s="14" t="s">
        <v>52</v>
      </c>
      <c r="H19" s="16" t="n">
        <f aca="false">Параметры!$C$4</f>
        <v>0.1</v>
      </c>
      <c r="I19" s="15" t="n">
        <f aca="false">IF(E19="","",ROUND(E19*(1+$H19)/Параметры!$C$5,0)*Параметры!$C$5)</f>
        <v>350000</v>
      </c>
      <c r="J19" s="15" t="n">
        <f aca="false">IF(F19="","",ROUND(F19*(1+$H19)/Параметры!$C$5,0)*Параметры!$C$5)</f>
        <v>310000</v>
      </c>
      <c r="K19" s="14" t="s">
        <v>54</v>
      </c>
      <c r="L19" s="14" t="s">
        <v>73</v>
      </c>
      <c r="M19" s="14" t="s">
        <v>74</v>
      </c>
      <c r="N19" s="14" t="s">
        <v>75</v>
      </c>
      <c r="O19" s="14" t="s">
        <v>76</v>
      </c>
      <c r="P19" s="14" t="s">
        <v>54</v>
      </c>
      <c r="Q19" s="14" t="s">
        <v>55</v>
      </c>
      <c r="R19" s="14" t="s">
        <v>56</v>
      </c>
      <c r="S19" s="14"/>
      <c r="T19" s="17"/>
      <c r="U19" s="17"/>
      <c r="V19" s="15" t="str">
        <f aca="false">IF(N(I19)*N(T19)+N(J19)*N(U19)=0,"",N(I19)*N(T19)+N(J19)*N(U19))</f>
        <v/>
      </c>
    </row>
    <row r="20" customFormat="false" ht="23.85" hidden="false" customHeight="false" outlineLevel="0" collapsed="false">
      <c r="B20" s="14" t="s">
        <v>57</v>
      </c>
      <c r="C20" s="14" t="s">
        <v>71</v>
      </c>
      <c r="D20" s="14" t="s">
        <v>72</v>
      </c>
      <c r="E20" s="15" t="n">
        <v>340000</v>
      </c>
      <c r="F20" s="15" t="n">
        <v>300000</v>
      </c>
      <c r="G20" s="14" t="s">
        <v>52</v>
      </c>
      <c r="H20" s="16" t="n">
        <f aca="false">Параметры!$C$4</f>
        <v>0.1</v>
      </c>
      <c r="I20" s="15" t="n">
        <f aca="false">IF(E20="","",ROUND(E20*(1+$H20)/Параметры!$C$5,0)*Параметры!$C$5)</f>
        <v>375000</v>
      </c>
      <c r="J20" s="15" t="n">
        <f aca="false">IF(F20="","",ROUND(F20*(1+$H20)/Параметры!$C$5,0)*Параметры!$C$5)</f>
        <v>330000</v>
      </c>
      <c r="K20" s="14" t="s">
        <v>54</v>
      </c>
      <c r="L20" s="14" t="s">
        <v>73</v>
      </c>
      <c r="M20" s="14" t="s">
        <v>74</v>
      </c>
      <c r="N20" s="14" t="s">
        <v>77</v>
      </c>
      <c r="O20" s="14" t="s">
        <v>59</v>
      </c>
      <c r="P20" s="14" t="n">
        <v>5</v>
      </c>
      <c r="Q20" s="14" t="s">
        <v>55</v>
      </c>
      <c r="R20" s="14" t="s">
        <v>56</v>
      </c>
      <c r="S20" s="14"/>
      <c r="T20" s="17"/>
      <c r="U20" s="17"/>
      <c r="V20" s="15" t="str">
        <f aca="false">IF(N(I20)*N(T20)+N(J20)*N(U20)=0,"",N(I20)*N(T20)+N(J20)*N(U20))</f>
        <v/>
      </c>
    </row>
    <row r="21" customFormat="false" ht="23.85" hidden="false" customHeight="false" outlineLevel="0" collapsed="false">
      <c r="B21" s="14" t="s">
        <v>58</v>
      </c>
      <c r="C21" s="14" t="s">
        <v>71</v>
      </c>
      <c r="D21" s="14" t="s">
        <v>72</v>
      </c>
      <c r="E21" s="15" t="n">
        <v>360000</v>
      </c>
      <c r="F21" s="15" t="n">
        <v>320000</v>
      </c>
      <c r="G21" s="14" t="s">
        <v>52</v>
      </c>
      <c r="H21" s="16" t="n">
        <f aca="false">Параметры!$C$4</f>
        <v>0.1</v>
      </c>
      <c r="I21" s="15" t="n">
        <f aca="false">IF(E21="","",ROUND(E21*(1+$H21)/Параметры!$C$5,0)*Параметры!$C$5)</f>
        <v>395000</v>
      </c>
      <c r="J21" s="15" t="n">
        <f aca="false">IF(F21="","",ROUND(F21*(1+$H21)/Параметры!$C$5,0)*Параметры!$C$5)</f>
        <v>350000</v>
      </c>
      <c r="K21" s="14" t="s">
        <v>54</v>
      </c>
      <c r="L21" s="14" t="s">
        <v>73</v>
      </c>
      <c r="M21" s="14" t="s">
        <v>74</v>
      </c>
      <c r="N21" s="14" t="s">
        <v>78</v>
      </c>
      <c r="O21" s="14" t="s">
        <v>62</v>
      </c>
      <c r="P21" s="14" t="n">
        <v>10</v>
      </c>
      <c r="Q21" s="14" t="s">
        <v>55</v>
      </c>
      <c r="R21" s="14" t="s">
        <v>56</v>
      </c>
      <c r="S21" s="14" t="s">
        <v>60</v>
      </c>
      <c r="T21" s="17"/>
      <c r="U21" s="17"/>
      <c r="V21" s="15" t="str">
        <f aca="false">IF(N(I21)*N(T21)+N(J21)*N(U21)=0,"",N(I21)*N(T21)+N(J21)*N(U21))</f>
        <v/>
      </c>
    </row>
    <row r="22" customFormat="false" ht="23.85" hidden="false" customHeight="false" outlineLevel="0" collapsed="false">
      <c r="B22" s="14" t="s">
        <v>63</v>
      </c>
      <c r="C22" s="14" t="s">
        <v>71</v>
      </c>
      <c r="D22" s="14" t="s">
        <v>54</v>
      </c>
      <c r="E22" s="15" t="n">
        <v>390000</v>
      </c>
      <c r="F22" s="15"/>
      <c r="G22" s="14" t="s">
        <v>52</v>
      </c>
      <c r="H22" s="16" t="n">
        <f aca="false">Параметры!$C$4</f>
        <v>0.1</v>
      </c>
      <c r="I22" s="15" t="n">
        <f aca="false">IF(E22="","",ROUND(E22*(1+$H22)/Параметры!$C$5,0)*Параметры!$C$5)</f>
        <v>430000</v>
      </c>
      <c r="J22" s="15" t="str">
        <f aca="false">IF(F22="","",ROUND(F22*(1+$H22)/Параметры!$C$5,0)*Параметры!$C$5)</f>
        <v/>
      </c>
      <c r="K22" s="14" t="s">
        <v>54</v>
      </c>
      <c r="L22" s="14" t="s">
        <v>73</v>
      </c>
      <c r="M22" s="14" t="s">
        <v>74</v>
      </c>
      <c r="N22" s="14" t="s">
        <v>77</v>
      </c>
      <c r="O22" s="14" t="s">
        <v>59</v>
      </c>
      <c r="P22" s="14" t="n">
        <v>7</v>
      </c>
      <c r="Q22" s="14" t="s">
        <v>64</v>
      </c>
      <c r="R22" s="14" t="s">
        <v>56</v>
      </c>
      <c r="S22" s="14" t="s">
        <v>65</v>
      </c>
      <c r="T22" s="17"/>
      <c r="U22" s="17"/>
      <c r="V22" s="15" t="str">
        <f aca="false">IF(N(I22)*N(T22)+N(J22)*N(U22)=0,"",N(I22)*N(T22)+N(J22)*N(U22))</f>
        <v/>
      </c>
    </row>
    <row r="23" customFormat="false" ht="15" hidden="false" customHeight="false" outlineLevel="0" collapsed="false">
      <c r="B23" s="14" t="s">
        <v>79</v>
      </c>
      <c r="C23" s="14" t="s">
        <v>50</v>
      </c>
      <c r="D23" s="14" t="s">
        <v>80</v>
      </c>
      <c r="E23" s="15" t="n">
        <v>450000</v>
      </c>
      <c r="F23" s="15" t="n">
        <v>475000</v>
      </c>
      <c r="G23" s="14" t="s">
        <v>52</v>
      </c>
      <c r="H23" s="16" t="n">
        <f aca="false">Параметры!$C$4</f>
        <v>0.1</v>
      </c>
      <c r="I23" s="15" t="n">
        <f aca="false">IF(E23="","",ROUND(E23*(1+$H23)/Параметры!$C$5,0)*Параметры!$C$5)</f>
        <v>495000</v>
      </c>
      <c r="J23" s="15" t="n">
        <f aca="false">IF(F23="","",ROUND(F23*(1+$H23)/Параметры!$C$5,0)*Параметры!$C$5)</f>
        <v>525000</v>
      </c>
      <c r="K23" s="14"/>
      <c r="L23" s="14"/>
      <c r="M23" s="14"/>
      <c r="N23" s="14"/>
      <c r="O23" s="14"/>
      <c r="P23" s="14"/>
      <c r="Q23" s="14"/>
      <c r="R23" s="14" t="s">
        <v>56</v>
      </c>
      <c r="S23" s="14" t="s">
        <v>60</v>
      </c>
      <c r="T23" s="17"/>
      <c r="U23" s="17"/>
      <c r="V23" s="15" t="str">
        <f aca="false">IF(N(I23)*N(T23)+N(J23)*N(U23)=0,"",N(I23)*N(T23)+N(J23)*N(U23))</f>
        <v/>
      </c>
    </row>
    <row r="24" customFormat="false" ht="15" hidden="false" customHeight="false" outlineLevel="0" collapsed="false">
      <c r="B24" s="14" t="s">
        <v>79</v>
      </c>
      <c r="C24" s="14" t="s">
        <v>67</v>
      </c>
      <c r="D24" s="14" t="s">
        <v>80</v>
      </c>
      <c r="E24" s="15" t="n">
        <v>410000</v>
      </c>
      <c r="F24" s="15" t="n">
        <v>435000</v>
      </c>
      <c r="G24" s="14" t="s">
        <v>52</v>
      </c>
      <c r="H24" s="16" t="n">
        <f aca="false">Параметры!$C$4</f>
        <v>0.1</v>
      </c>
      <c r="I24" s="15" t="n">
        <f aca="false">IF(E24="","",ROUND(E24*(1+$H24)/Параметры!$C$5,0)*Параметры!$C$5)</f>
        <v>450000</v>
      </c>
      <c r="J24" s="15" t="n">
        <f aca="false">IF(F24="","",ROUND(F24*(1+$H24)/Параметры!$C$5,0)*Параметры!$C$5)</f>
        <v>480000</v>
      </c>
      <c r="K24" s="14"/>
      <c r="L24" s="14"/>
      <c r="M24" s="14"/>
      <c r="N24" s="14"/>
      <c r="O24" s="14"/>
      <c r="P24" s="14"/>
      <c r="Q24" s="14"/>
      <c r="R24" s="14" t="s">
        <v>56</v>
      </c>
      <c r="S24" s="14" t="s">
        <v>60</v>
      </c>
      <c r="T24" s="17"/>
      <c r="U24" s="17"/>
      <c r="V24" s="15" t="str">
        <f aca="false">IF(N(I24)*N(T24)+N(J24)*N(U24)=0,"",N(I24)*N(T24)+N(J24)*N(U24))</f>
        <v/>
      </c>
    </row>
    <row r="25" customFormat="false" ht="15" hidden="false" customHeight="false" outlineLevel="0" collapsed="false">
      <c r="B25" s="14" t="s">
        <v>81</v>
      </c>
      <c r="C25" s="14" t="s">
        <v>71</v>
      </c>
      <c r="D25" s="14" t="s">
        <v>82</v>
      </c>
      <c r="E25" s="15" t="n">
        <v>350000</v>
      </c>
      <c r="F25" s="15"/>
      <c r="G25" s="14" t="s">
        <v>52</v>
      </c>
      <c r="H25" s="16" t="n">
        <f aca="false">Параметры!$C$4</f>
        <v>0.1</v>
      </c>
      <c r="I25" s="15" t="n">
        <f aca="false">IF(E25="","",ROUND(E25*(1+$H25)/Параметры!$C$5,0)*Параметры!$C$5)</f>
        <v>385000</v>
      </c>
      <c r="J25" s="15" t="str">
        <f aca="false">IF(F25="","",ROUND(F25*(1+$H25)/Параметры!$C$5,0)*Параметры!$C$5)</f>
        <v/>
      </c>
      <c r="K25" s="14"/>
      <c r="L25" s="14"/>
      <c r="M25" s="14"/>
      <c r="N25" s="14" t="n">
        <v>5</v>
      </c>
      <c r="O25" s="14"/>
      <c r="P25" s="14"/>
      <c r="Q25" s="14"/>
      <c r="R25" s="14" t="s">
        <v>56</v>
      </c>
      <c r="S25" s="14"/>
      <c r="T25" s="17"/>
      <c r="U25" s="17"/>
      <c r="V25" s="15" t="str">
        <f aca="false">IF(N(I25)*N(T25)+N(J25)*N(U25)=0,"",N(I25)*N(T25)+N(J25)*N(U25))</f>
        <v/>
      </c>
    </row>
    <row r="26" customFormat="false" ht="15" hidden="false" customHeight="false" outlineLevel="0" collapsed="false">
      <c r="B26" s="14" t="s">
        <v>83</v>
      </c>
      <c r="C26" s="14" t="s">
        <v>71</v>
      </c>
      <c r="D26" s="14" t="s">
        <v>82</v>
      </c>
      <c r="E26" s="15" t="n">
        <v>370000</v>
      </c>
      <c r="F26" s="15"/>
      <c r="G26" s="14" t="s">
        <v>52</v>
      </c>
      <c r="H26" s="16" t="n">
        <f aca="false">Параметры!$C$4</f>
        <v>0.1</v>
      </c>
      <c r="I26" s="15" t="n">
        <f aca="false">IF(E26="","",ROUND(E26*(1+$H26)/Параметры!$C$5,0)*Параметры!$C$5)</f>
        <v>405000</v>
      </c>
      <c r="J26" s="15" t="str">
        <f aca="false">IF(F26="","",ROUND(F26*(1+$H26)/Параметры!$C$5,0)*Параметры!$C$5)</f>
        <v/>
      </c>
      <c r="K26" s="14"/>
      <c r="L26" s="14"/>
      <c r="M26" s="14"/>
      <c r="N26" s="14" t="n">
        <v>10</v>
      </c>
      <c r="O26" s="14"/>
      <c r="P26" s="14"/>
      <c r="Q26" s="14"/>
      <c r="R26" s="14" t="s">
        <v>56</v>
      </c>
      <c r="S26" s="14"/>
      <c r="T26" s="17"/>
      <c r="U26" s="17"/>
      <c r="V26" s="15" t="str">
        <f aca="false">IF(N(I26)*N(T26)+N(J26)*N(U26)=0,"",N(I26)*N(T26)+N(J26)*N(U26))</f>
        <v/>
      </c>
    </row>
    <row r="27" customFormat="false" ht="15" hidden="false" customHeight="false" outlineLevel="0" collapsed="false">
      <c r="B27" s="14" t="s">
        <v>84</v>
      </c>
      <c r="C27" s="14" t="s">
        <v>71</v>
      </c>
      <c r="D27" s="14" t="s">
        <v>82</v>
      </c>
      <c r="E27" s="15" t="n">
        <v>390000</v>
      </c>
      <c r="F27" s="15"/>
      <c r="G27" s="14" t="s">
        <v>52</v>
      </c>
      <c r="H27" s="16" t="n">
        <f aca="false">Параметры!$C$4</f>
        <v>0.1</v>
      </c>
      <c r="I27" s="15" t="n">
        <f aca="false">IF(E27="","",ROUND(E27*(1+$H27)/Параметры!$C$5,0)*Параметры!$C$5)</f>
        <v>430000</v>
      </c>
      <c r="J27" s="15" t="str">
        <f aca="false">IF(F27="","",ROUND(F27*(1+$H27)/Параметры!$C$5,0)*Параметры!$C$5)</f>
        <v/>
      </c>
      <c r="K27" s="14"/>
      <c r="L27" s="14"/>
      <c r="M27" s="14"/>
      <c r="N27" s="14" t="n">
        <v>15</v>
      </c>
      <c r="O27" s="14"/>
      <c r="P27" s="14"/>
      <c r="Q27" s="14"/>
      <c r="R27" s="14" t="s">
        <v>56</v>
      </c>
      <c r="S27" s="14" t="s">
        <v>60</v>
      </c>
      <c r="T27" s="17"/>
      <c r="U27" s="17"/>
      <c r="V27" s="15" t="str">
        <f aca="false">IF(N(I27)*N(T27)+N(J27)*N(U27)=0,"",N(I27)*N(T27)+N(J27)*N(U27))</f>
        <v/>
      </c>
    </row>
    <row r="28" customFormat="false" ht="15" hidden="false" customHeight="false" outlineLevel="0" collapsed="false">
      <c r="B28" s="14" t="s">
        <v>85</v>
      </c>
      <c r="C28" s="14" t="s">
        <v>71</v>
      </c>
      <c r="D28" s="14" t="s">
        <v>86</v>
      </c>
      <c r="E28" s="15" t="n">
        <v>350000</v>
      </c>
      <c r="F28" s="15" t="n">
        <v>370000</v>
      </c>
      <c r="G28" s="14" t="s">
        <v>52</v>
      </c>
      <c r="H28" s="16" t="n">
        <f aca="false">Параметры!$C$4</f>
        <v>0.1</v>
      </c>
      <c r="I28" s="15" t="n">
        <f aca="false">IF(E28="","",ROUND(E28*(1+$H28)/Параметры!$C$5,0)*Параметры!$C$5)</f>
        <v>385000</v>
      </c>
      <c r="J28" s="15" t="n">
        <f aca="false">IF(F28="","",ROUND(F28*(1+$H28)/Параметры!$C$5,0)*Параметры!$C$5)</f>
        <v>405000</v>
      </c>
      <c r="K28" s="14"/>
      <c r="L28" s="14"/>
      <c r="M28" s="14"/>
      <c r="N28" s="14"/>
      <c r="O28" s="14"/>
      <c r="P28" s="14"/>
      <c r="Q28" s="14"/>
      <c r="R28" s="14" t="s">
        <v>56</v>
      </c>
      <c r="S28" s="14"/>
      <c r="T28" s="17"/>
      <c r="U28" s="17"/>
      <c r="V28" s="15" t="str">
        <f aca="false">IF(N(I28)*N(T28)+N(J28)*N(U28)=0,"",N(I28)*N(T28)+N(J28)*N(U28))</f>
        <v/>
      </c>
    </row>
    <row r="29" customFormat="false" ht="15" hidden="false" customHeight="false" outlineLevel="0" collapsed="false">
      <c r="B29" s="12" t="s">
        <v>87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</row>
    <row r="30" customFormat="false" ht="23.85" hidden="false" customHeight="false" outlineLevel="0" collapsed="false">
      <c r="B30" s="14" t="s">
        <v>88</v>
      </c>
      <c r="C30" s="14" t="s">
        <v>89</v>
      </c>
      <c r="D30" s="14" t="s">
        <v>90</v>
      </c>
      <c r="E30" s="15" t="n">
        <v>18000</v>
      </c>
      <c r="F30" s="15"/>
      <c r="G30" s="14" t="s">
        <v>91</v>
      </c>
      <c r="H30" s="16" t="n">
        <f aca="false">Параметры!$C$4</f>
        <v>0.1</v>
      </c>
      <c r="I30" s="15" t="n">
        <f aca="false">IF(E30="","",ROUND(E30*(1+$H30)/100,0)*100)</f>
        <v>19800</v>
      </c>
      <c r="J30" s="15" t="str">
        <f aca="false">IF(F30="","",ROUND(F30*(1+$H30)/100,0)*100)</f>
        <v/>
      </c>
      <c r="K30" s="14" t="s">
        <v>54</v>
      </c>
      <c r="L30" s="14" t="s">
        <v>92</v>
      </c>
      <c r="M30" s="14" t="s">
        <v>54</v>
      </c>
      <c r="N30" s="14" t="s">
        <v>59</v>
      </c>
      <c r="O30" s="14" t="s">
        <v>54</v>
      </c>
      <c r="P30" s="14" t="s">
        <v>54</v>
      </c>
      <c r="Q30" s="14" t="s">
        <v>93</v>
      </c>
      <c r="R30" s="14" t="s">
        <v>56</v>
      </c>
      <c r="S30" s="14"/>
      <c r="T30" s="17"/>
      <c r="U30" s="17"/>
      <c r="V30" s="15" t="str">
        <f aca="false">IF(N(I30)*N(T30)+N(J30)*N(U30)=0,"",N(I30)*N(T30)+N(J30)*N(U30))</f>
        <v/>
      </c>
    </row>
    <row r="31" customFormat="false" ht="23.85" hidden="false" customHeight="false" outlineLevel="0" collapsed="false">
      <c r="B31" s="14" t="s">
        <v>94</v>
      </c>
      <c r="C31" s="14" t="s">
        <v>50</v>
      </c>
      <c r="D31" s="14" t="s">
        <v>54</v>
      </c>
      <c r="E31" s="15" t="n">
        <v>390000</v>
      </c>
      <c r="F31" s="15"/>
      <c r="G31" s="14" t="s">
        <v>52</v>
      </c>
      <c r="H31" s="16" t="n">
        <f aca="false">Параметры!$C$4</f>
        <v>0.1</v>
      </c>
      <c r="I31" s="15" t="n">
        <f aca="false">IF(E31="","",ROUND(E31*(1+$H31)/Параметры!$C$5,0)*Параметры!$C$5)</f>
        <v>430000</v>
      </c>
      <c r="J31" s="15" t="str">
        <f aca="false">IF(F31="","",ROUND(F31*(1+$H31)/Параметры!$C$5,0)*Параметры!$C$5)</f>
        <v/>
      </c>
      <c r="K31" s="14" t="s">
        <v>54</v>
      </c>
      <c r="L31" s="14" t="s">
        <v>95</v>
      </c>
      <c r="M31" s="14" t="s">
        <v>54</v>
      </c>
      <c r="N31" s="14" t="s">
        <v>62</v>
      </c>
      <c r="O31" s="14" t="s">
        <v>62</v>
      </c>
      <c r="P31" s="14" t="s">
        <v>54</v>
      </c>
      <c r="Q31" s="14" t="s">
        <v>96</v>
      </c>
      <c r="R31" s="14" t="s">
        <v>56</v>
      </c>
      <c r="S31" s="14" t="s">
        <v>60</v>
      </c>
      <c r="T31" s="17"/>
      <c r="U31" s="17"/>
      <c r="V31" s="15" t="str">
        <f aca="false">IF(N(I31)*N(T31)+N(J31)*N(U31)=0,"",N(I31)*N(T31)+N(J31)*N(U31))</f>
        <v/>
      </c>
    </row>
    <row r="32" customFormat="false" ht="23.85" hidden="false" customHeight="false" outlineLevel="0" collapsed="false">
      <c r="B32" s="14" t="s">
        <v>94</v>
      </c>
      <c r="C32" s="14" t="s">
        <v>67</v>
      </c>
      <c r="D32" s="14" t="s">
        <v>54</v>
      </c>
      <c r="E32" s="15" t="n">
        <v>290000</v>
      </c>
      <c r="F32" s="15"/>
      <c r="G32" s="14" t="s">
        <v>52</v>
      </c>
      <c r="H32" s="16" t="n">
        <f aca="false">Параметры!$C$4</f>
        <v>0.1</v>
      </c>
      <c r="I32" s="15" t="n">
        <f aca="false">IF(E32="","",ROUND(E32*(1+$H32)/Параметры!$C$5,0)*Параметры!$C$5)</f>
        <v>320000</v>
      </c>
      <c r="J32" s="15" t="str">
        <f aca="false">IF(F32="","",ROUND(F32*(1+$H32)/Параметры!$C$5,0)*Параметры!$C$5)</f>
        <v/>
      </c>
      <c r="K32" s="14" t="s">
        <v>54</v>
      </c>
      <c r="L32" s="14" t="s">
        <v>95</v>
      </c>
      <c r="M32" s="14" t="s">
        <v>54</v>
      </c>
      <c r="N32" s="14" t="s">
        <v>62</v>
      </c>
      <c r="O32" s="14" t="s">
        <v>62</v>
      </c>
      <c r="P32" s="14" t="s">
        <v>54</v>
      </c>
      <c r="Q32" s="14" t="s">
        <v>96</v>
      </c>
      <c r="R32" s="14" t="s">
        <v>56</v>
      </c>
      <c r="S32" s="14" t="s">
        <v>60</v>
      </c>
      <c r="T32" s="17"/>
      <c r="U32" s="17"/>
      <c r="V32" s="15" t="str">
        <f aca="false">IF(N(I32)*N(T32)+N(J32)*N(U32)=0,"",N(I32)*N(T32)+N(J32)*N(U32))</f>
        <v/>
      </c>
    </row>
    <row r="33" customFormat="false" ht="15" hidden="false" customHeight="false" outlineLevel="0" collapsed="false">
      <c r="B33" s="14" t="s">
        <v>97</v>
      </c>
      <c r="C33" s="14" t="s">
        <v>50</v>
      </c>
      <c r="D33" s="14" t="s">
        <v>54</v>
      </c>
      <c r="E33" s="15" t="n">
        <v>100000</v>
      </c>
      <c r="F33" s="15"/>
      <c r="G33" s="14" t="s">
        <v>52</v>
      </c>
      <c r="H33" s="16" t="n">
        <f aca="false">Параметры!$C$4</f>
        <v>0.1</v>
      </c>
      <c r="I33" s="15" t="n">
        <f aca="false">IF(E33="","",ROUND(E33*(1+$H33)/Параметры!$C$5,0)*Параметры!$C$5)</f>
        <v>110000</v>
      </c>
      <c r="J33" s="15" t="str">
        <f aca="false">IF(F33="","",ROUND(F33*(1+$H33)/Параметры!$C$5,0)*Параметры!$C$5)</f>
        <v/>
      </c>
      <c r="K33" s="14" t="s">
        <v>54</v>
      </c>
      <c r="L33" s="14" t="s">
        <v>98</v>
      </c>
      <c r="M33" s="14" t="s">
        <v>54</v>
      </c>
      <c r="N33" s="14" t="n">
        <v>3</v>
      </c>
      <c r="O33" s="14" t="s">
        <v>54</v>
      </c>
      <c r="P33" s="14" t="s">
        <v>54</v>
      </c>
      <c r="Q33" s="14" t="s">
        <v>99</v>
      </c>
      <c r="R33" s="14" t="s">
        <v>56</v>
      </c>
      <c r="S33" s="14"/>
      <c r="T33" s="17"/>
      <c r="U33" s="17"/>
      <c r="V33" s="15" t="str">
        <f aca="false">IF(N(I33)*N(T33)+N(J33)*N(U33)=0,"",N(I33)*N(T33)+N(J33)*N(U33))</f>
        <v/>
      </c>
    </row>
    <row r="34" customFormat="false" ht="15" hidden="false" customHeight="false" outlineLevel="0" collapsed="false">
      <c r="B34" s="14" t="s">
        <v>97</v>
      </c>
      <c r="C34" s="14" t="s">
        <v>67</v>
      </c>
      <c r="D34" s="14" t="s">
        <v>54</v>
      </c>
      <c r="E34" s="15" t="n">
        <v>80000</v>
      </c>
      <c r="F34" s="15"/>
      <c r="G34" s="14" t="s">
        <v>52</v>
      </c>
      <c r="H34" s="16" t="n">
        <f aca="false">Параметры!$C$4</f>
        <v>0.1</v>
      </c>
      <c r="I34" s="15" t="n">
        <f aca="false">IF(E34="","",ROUND(E34*(1+$H34)/Параметры!$C$5,0)*Параметры!$C$5)</f>
        <v>90000</v>
      </c>
      <c r="J34" s="15" t="str">
        <f aca="false">IF(F34="","",ROUND(F34*(1+$H34)/Параметры!$C$5,0)*Параметры!$C$5)</f>
        <v/>
      </c>
      <c r="K34" s="14" t="s">
        <v>54</v>
      </c>
      <c r="L34" s="14" t="s">
        <v>98</v>
      </c>
      <c r="M34" s="14" t="s">
        <v>54</v>
      </c>
      <c r="N34" s="14" t="n">
        <v>3</v>
      </c>
      <c r="O34" s="14" t="s">
        <v>54</v>
      </c>
      <c r="P34" s="14" t="s">
        <v>54</v>
      </c>
      <c r="Q34" s="14" t="s">
        <v>99</v>
      </c>
      <c r="R34" s="14" t="s">
        <v>56</v>
      </c>
      <c r="S34" s="14"/>
      <c r="T34" s="17"/>
      <c r="U34" s="17"/>
      <c r="V34" s="15" t="str">
        <f aca="false">IF(N(I34)*N(T34)+N(J34)*N(U34)=0,"",N(I34)*N(T34)+N(J34)*N(U34))</f>
        <v/>
      </c>
    </row>
    <row r="35" customFormat="false" ht="15" hidden="false" customHeight="false" outlineLevel="0" collapsed="false">
      <c r="B35" s="14" t="s">
        <v>100</v>
      </c>
      <c r="C35" s="14" t="s">
        <v>50</v>
      </c>
      <c r="D35" s="14" t="s">
        <v>54</v>
      </c>
      <c r="E35" s="15" t="n">
        <v>115000</v>
      </c>
      <c r="F35" s="15"/>
      <c r="G35" s="14" t="s">
        <v>52</v>
      </c>
      <c r="H35" s="16" t="n">
        <f aca="false">Параметры!$C$4</f>
        <v>0.1</v>
      </c>
      <c r="I35" s="15" t="n">
        <f aca="false">IF(E35="","",ROUND(E35*(1+$H35)/Параметры!$C$5,0)*Параметры!$C$5)</f>
        <v>125000</v>
      </c>
      <c r="J35" s="15" t="str">
        <f aca="false">IF(F35="","",ROUND(F35*(1+$H35)/Параметры!$C$5,0)*Параметры!$C$5)</f>
        <v/>
      </c>
      <c r="K35" s="14" t="s">
        <v>54</v>
      </c>
      <c r="L35" s="14" t="n">
        <v>4</v>
      </c>
      <c r="M35" s="14" t="s">
        <v>54</v>
      </c>
      <c r="N35" s="14" t="n">
        <v>2</v>
      </c>
      <c r="O35" s="14" t="s">
        <v>101</v>
      </c>
      <c r="P35" s="14" t="s">
        <v>54</v>
      </c>
      <c r="Q35" s="14" t="s">
        <v>99</v>
      </c>
      <c r="R35" s="14" t="s">
        <v>56</v>
      </c>
      <c r="S35" s="14"/>
      <c r="T35" s="17"/>
      <c r="U35" s="17"/>
      <c r="V35" s="15" t="str">
        <f aca="false">IF(N(I35)*N(T35)+N(J35)*N(U35)=0,"",N(I35)*N(T35)+N(J35)*N(U35))</f>
        <v/>
      </c>
    </row>
    <row r="36" customFormat="false" ht="15" hidden="false" customHeight="false" outlineLevel="0" collapsed="false">
      <c r="B36" s="14" t="s">
        <v>100</v>
      </c>
      <c r="C36" s="14" t="s">
        <v>67</v>
      </c>
      <c r="D36" s="14" t="s">
        <v>54</v>
      </c>
      <c r="E36" s="15" t="n">
        <v>90000</v>
      </c>
      <c r="F36" s="15"/>
      <c r="G36" s="14" t="s">
        <v>52</v>
      </c>
      <c r="H36" s="16" t="n">
        <f aca="false">Параметры!$C$4</f>
        <v>0.1</v>
      </c>
      <c r="I36" s="15" t="n">
        <f aca="false">IF(E36="","",ROUND(E36*(1+$H36)/Параметры!$C$5,0)*Параметры!$C$5)</f>
        <v>100000</v>
      </c>
      <c r="J36" s="15" t="str">
        <f aca="false">IF(F36="","",ROUND(F36*(1+$H36)/Параметры!$C$5,0)*Параметры!$C$5)</f>
        <v/>
      </c>
      <c r="K36" s="14" t="s">
        <v>54</v>
      </c>
      <c r="L36" s="14" t="n">
        <v>4</v>
      </c>
      <c r="M36" s="14" t="s">
        <v>54</v>
      </c>
      <c r="N36" s="14" t="n">
        <v>2</v>
      </c>
      <c r="O36" s="14" t="s">
        <v>101</v>
      </c>
      <c r="P36" s="14" t="s">
        <v>54</v>
      </c>
      <c r="Q36" s="14" t="s">
        <v>99</v>
      </c>
      <c r="R36" s="14" t="s">
        <v>56</v>
      </c>
      <c r="S36" s="14"/>
      <c r="T36" s="17"/>
      <c r="U36" s="17"/>
      <c r="V36" s="15" t="str">
        <f aca="false">IF(N(I36)*N(T36)+N(J36)*N(U36)=0,"",N(I36)*N(T36)+N(J36)*N(U36))</f>
        <v/>
      </c>
    </row>
    <row r="37" customFormat="false" ht="15" hidden="false" customHeight="false" outlineLevel="0" collapsed="false">
      <c r="B37" s="14" t="s">
        <v>102</v>
      </c>
      <c r="C37" s="14" t="s">
        <v>50</v>
      </c>
      <c r="D37" s="14" t="s">
        <v>54</v>
      </c>
      <c r="E37" s="15" t="n">
        <v>900000</v>
      </c>
      <c r="F37" s="15"/>
      <c r="G37" s="14" t="s">
        <v>52</v>
      </c>
      <c r="H37" s="16" t="n">
        <f aca="false">Параметры!$C$4</f>
        <v>0.1</v>
      </c>
      <c r="I37" s="15" t="n">
        <f aca="false">IF(E37="","",ROUND(E37*(1+$H37)/Параметры!$C$5,0)*Параметры!$C$5)</f>
        <v>990000</v>
      </c>
      <c r="J37" s="15" t="str">
        <f aca="false">IF(F37="","",ROUND(F37*(1+$H37)/Параметры!$C$5,0)*Параметры!$C$5)</f>
        <v/>
      </c>
      <c r="K37" s="14" t="s">
        <v>54</v>
      </c>
      <c r="L37" s="14" t="s">
        <v>103</v>
      </c>
      <c r="M37" s="14" t="s">
        <v>54</v>
      </c>
      <c r="N37" s="14" t="s">
        <v>104</v>
      </c>
      <c r="O37" s="14" t="s">
        <v>76</v>
      </c>
      <c r="P37" s="14" t="n">
        <v>2</v>
      </c>
      <c r="Q37" s="14" t="s">
        <v>99</v>
      </c>
      <c r="R37" s="14" t="s">
        <v>60</v>
      </c>
      <c r="S37" s="14" t="s">
        <v>65</v>
      </c>
      <c r="T37" s="17"/>
      <c r="U37" s="17"/>
      <c r="V37" s="15" t="str">
        <f aca="false">IF(N(I37)*N(T37)+N(J37)*N(U37)=0,"",N(I37)*N(T37)+N(J37)*N(U37))</f>
        <v/>
      </c>
    </row>
    <row r="38" customFormat="false" ht="15" hidden="false" customHeight="false" outlineLevel="0" collapsed="false">
      <c r="B38" s="14" t="s">
        <v>102</v>
      </c>
      <c r="C38" s="14" t="s">
        <v>67</v>
      </c>
      <c r="D38" s="14" t="s">
        <v>54</v>
      </c>
      <c r="E38" s="15" t="n">
        <v>750000</v>
      </c>
      <c r="F38" s="15"/>
      <c r="G38" s="14" t="s">
        <v>52</v>
      </c>
      <c r="H38" s="16" t="n">
        <f aca="false">Параметры!$C$4</f>
        <v>0.1</v>
      </c>
      <c r="I38" s="15" t="n">
        <f aca="false">IF(E38="","",ROUND(E38*(1+$H38)/Параметры!$C$5,0)*Параметры!$C$5)</f>
        <v>825000</v>
      </c>
      <c r="J38" s="15" t="str">
        <f aca="false">IF(F38="","",ROUND(F38*(1+$H38)/Параметры!$C$5,0)*Параметры!$C$5)</f>
        <v/>
      </c>
      <c r="K38" s="14" t="s">
        <v>54</v>
      </c>
      <c r="L38" s="14" t="s">
        <v>103</v>
      </c>
      <c r="M38" s="14" t="s">
        <v>54</v>
      </c>
      <c r="N38" s="14" t="s">
        <v>104</v>
      </c>
      <c r="O38" s="14" t="s">
        <v>76</v>
      </c>
      <c r="P38" s="14" t="n">
        <v>2</v>
      </c>
      <c r="Q38" s="14" t="s">
        <v>99</v>
      </c>
      <c r="R38" s="14" t="s">
        <v>60</v>
      </c>
      <c r="S38" s="14" t="s">
        <v>65</v>
      </c>
      <c r="T38" s="17"/>
      <c r="U38" s="17"/>
      <c r="V38" s="15" t="str">
        <f aca="false">IF(N(I38)*N(T38)+N(J38)*N(U38)=0,"",N(I38)*N(T38)+N(J38)*N(U38))</f>
        <v/>
      </c>
    </row>
    <row r="39" customFormat="false" ht="15" hidden="false" customHeight="false" outlineLevel="0" collapsed="false">
      <c r="B39" s="14" t="s">
        <v>105</v>
      </c>
      <c r="C39" s="14" t="s">
        <v>50</v>
      </c>
      <c r="D39" s="14" t="s">
        <v>54</v>
      </c>
      <c r="E39" s="15" t="n">
        <v>540000</v>
      </c>
      <c r="F39" s="15"/>
      <c r="G39" s="14" t="s">
        <v>52</v>
      </c>
      <c r="H39" s="16" t="n">
        <f aca="false">Параметры!$C$4</f>
        <v>0.1</v>
      </c>
      <c r="I39" s="15" t="n">
        <f aca="false">IF(E39="","",ROUND(E39*(1+$H39)/Параметры!$C$5,0)*Параметры!$C$5)</f>
        <v>595000</v>
      </c>
      <c r="J39" s="15" t="str">
        <f aca="false">IF(F39="","",ROUND(F39*(1+$H39)/Параметры!$C$5,0)*Параметры!$C$5)</f>
        <v/>
      </c>
      <c r="K39" s="14" t="s">
        <v>54</v>
      </c>
      <c r="L39" s="14" t="s">
        <v>54</v>
      </c>
      <c r="M39" s="14" t="s">
        <v>54</v>
      </c>
      <c r="N39" s="14" t="s">
        <v>54</v>
      </c>
      <c r="O39" s="14" t="s">
        <v>54</v>
      </c>
      <c r="P39" s="14" t="s">
        <v>54</v>
      </c>
      <c r="Q39" s="14" t="s">
        <v>106</v>
      </c>
      <c r="R39" s="14" t="s">
        <v>107</v>
      </c>
      <c r="S39" s="14"/>
      <c r="T39" s="17"/>
      <c r="U39" s="17"/>
      <c r="V39" s="15" t="str">
        <f aca="false">IF(N(I39)*N(T39)+N(J39)*N(U39)=0,"",N(I39)*N(T39)+N(J39)*N(U39))</f>
        <v/>
      </c>
    </row>
    <row r="40" customFormat="false" ht="15" hidden="false" customHeight="false" outlineLevel="0" collapsed="false">
      <c r="B40" s="14" t="s">
        <v>105</v>
      </c>
      <c r="C40" s="14" t="s">
        <v>67</v>
      </c>
      <c r="D40" s="14" t="s">
        <v>54</v>
      </c>
      <c r="E40" s="15" t="n">
        <v>300000</v>
      </c>
      <c r="F40" s="15"/>
      <c r="G40" s="14" t="s">
        <v>52</v>
      </c>
      <c r="H40" s="16" t="n">
        <f aca="false">Параметры!$C$4</f>
        <v>0.1</v>
      </c>
      <c r="I40" s="15" t="n">
        <f aca="false">IF(E40="","",ROUND(E40*(1+$H40)/Параметры!$C$5,0)*Параметры!$C$5)</f>
        <v>330000</v>
      </c>
      <c r="J40" s="15" t="str">
        <f aca="false">IF(F40="","",ROUND(F40*(1+$H40)/Параметры!$C$5,0)*Параметры!$C$5)</f>
        <v/>
      </c>
      <c r="K40" s="14" t="s">
        <v>54</v>
      </c>
      <c r="L40" s="14" t="s">
        <v>54</v>
      </c>
      <c r="M40" s="14" t="s">
        <v>54</v>
      </c>
      <c r="N40" s="14" t="s">
        <v>54</v>
      </c>
      <c r="O40" s="14" t="s">
        <v>54</v>
      </c>
      <c r="P40" s="14" t="s">
        <v>54</v>
      </c>
      <c r="Q40" s="14" t="s">
        <v>106</v>
      </c>
      <c r="R40" s="14" t="s">
        <v>107</v>
      </c>
      <c r="S40" s="14"/>
      <c r="T40" s="17"/>
      <c r="U40" s="17"/>
      <c r="V40" s="15" t="str">
        <f aca="false">IF(N(I40)*N(T40)+N(J40)*N(U40)=0,"",N(I40)*N(T40)+N(J40)*N(U40))</f>
        <v/>
      </c>
    </row>
    <row r="41" customFormat="false" ht="23.85" hidden="false" customHeight="false" outlineLevel="0" collapsed="false">
      <c r="B41" s="14" t="s">
        <v>108</v>
      </c>
      <c r="C41" s="14" t="s">
        <v>54</v>
      </c>
      <c r="D41" s="14" t="s">
        <v>54</v>
      </c>
      <c r="E41" s="15" t="n">
        <v>732000</v>
      </c>
      <c r="F41" s="15"/>
      <c r="G41" s="14" t="s">
        <v>52</v>
      </c>
      <c r="H41" s="16" t="n">
        <f aca="false">Параметры!$C$4</f>
        <v>0.1</v>
      </c>
      <c r="I41" s="15" t="n">
        <f aca="false">IF(E41="","",ROUND(E41*(1+$H41)/Параметры!$C$5,0)*Параметры!$C$5)</f>
        <v>805000</v>
      </c>
      <c r="J41" s="15" t="str">
        <f aca="false">IF(F41="","",ROUND(F41*(1+$H41)/Параметры!$C$5,0)*Параметры!$C$5)</f>
        <v/>
      </c>
      <c r="K41" s="14" t="s">
        <v>54</v>
      </c>
      <c r="L41" s="14" t="s">
        <v>109</v>
      </c>
      <c r="M41" s="14" t="s">
        <v>54</v>
      </c>
      <c r="N41" s="14" t="s">
        <v>104</v>
      </c>
      <c r="O41" s="14" t="s">
        <v>54</v>
      </c>
      <c r="P41" s="14" t="s">
        <v>54</v>
      </c>
      <c r="Q41" s="14" t="s">
        <v>110</v>
      </c>
      <c r="R41" s="14" t="s">
        <v>107</v>
      </c>
      <c r="S41" s="14" t="s">
        <v>56</v>
      </c>
      <c r="T41" s="17"/>
      <c r="U41" s="17"/>
      <c r="V41" s="15" t="str">
        <f aca="false">IF(N(I41)*N(T41)+N(J41)*N(U41)=0,"",N(I41)*N(T41)+N(J41)*N(U41))</f>
        <v/>
      </c>
    </row>
    <row r="42" customFormat="false" ht="15" hidden="false" customHeight="false" outlineLevel="0" collapsed="false">
      <c r="B42" s="14" t="s">
        <v>111</v>
      </c>
      <c r="C42" s="14" t="s">
        <v>50</v>
      </c>
      <c r="D42" s="14" t="s">
        <v>54</v>
      </c>
      <c r="E42" s="15" t="n">
        <v>500000</v>
      </c>
      <c r="F42" s="15"/>
      <c r="G42" s="14" t="s">
        <v>52</v>
      </c>
      <c r="H42" s="16" t="n">
        <f aca="false">Параметры!$C$4</f>
        <v>0.1</v>
      </c>
      <c r="I42" s="15" t="n">
        <f aca="false">IF(E42="","",ROUND(E42*(1+$H42)/Параметры!$C$5,0)*Параметры!$C$5)</f>
        <v>550000</v>
      </c>
      <c r="J42" s="15" t="str">
        <f aca="false">IF(F42="","",ROUND(F42*(1+$H42)/Параметры!$C$5,0)*Параметры!$C$5)</f>
        <v/>
      </c>
      <c r="K42" s="14" t="s">
        <v>54</v>
      </c>
      <c r="L42" s="14" t="n">
        <v>20</v>
      </c>
      <c r="M42" s="14" t="s">
        <v>54</v>
      </c>
      <c r="N42" s="14" t="n">
        <v>10</v>
      </c>
      <c r="O42" s="14" t="s">
        <v>54</v>
      </c>
      <c r="P42" s="14" t="s">
        <v>54</v>
      </c>
      <c r="Q42" s="14" t="s">
        <v>54</v>
      </c>
      <c r="R42" s="14" t="s">
        <v>107</v>
      </c>
      <c r="S42" s="14" t="s">
        <v>60</v>
      </c>
      <c r="T42" s="17"/>
      <c r="U42" s="17"/>
      <c r="V42" s="15" t="str">
        <f aca="false">IF(N(I42)*N(T42)+N(J42)*N(U42)=0,"",N(I42)*N(T42)+N(J42)*N(U42))</f>
        <v/>
      </c>
    </row>
    <row r="43" customFormat="false" ht="15" hidden="false" customHeight="false" outlineLevel="0" collapsed="false">
      <c r="B43" s="14" t="s">
        <v>111</v>
      </c>
      <c r="C43" s="14" t="s">
        <v>67</v>
      </c>
      <c r="D43" s="14" t="s">
        <v>54</v>
      </c>
      <c r="E43" s="15" t="n">
        <v>300000</v>
      </c>
      <c r="F43" s="15"/>
      <c r="G43" s="14" t="s">
        <v>52</v>
      </c>
      <c r="H43" s="16" t="n">
        <f aca="false">Параметры!$C$4</f>
        <v>0.1</v>
      </c>
      <c r="I43" s="15" t="n">
        <f aca="false">IF(E43="","",ROUND(E43*(1+$H43)/Параметры!$C$5,0)*Параметры!$C$5)</f>
        <v>330000</v>
      </c>
      <c r="J43" s="15" t="str">
        <f aca="false">IF(F43="","",ROUND(F43*(1+$H43)/Параметры!$C$5,0)*Параметры!$C$5)</f>
        <v/>
      </c>
      <c r="K43" s="14" t="s">
        <v>54</v>
      </c>
      <c r="L43" s="14" t="n">
        <v>20</v>
      </c>
      <c r="M43" s="14" t="s">
        <v>54</v>
      </c>
      <c r="N43" s="14" t="n">
        <v>10</v>
      </c>
      <c r="O43" s="14" t="s">
        <v>54</v>
      </c>
      <c r="P43" s="14" t="s">
        <v>54</v>
      </c>
      <c r="Q43" s="14" t="s">
        <v>54</v>
      </c>
      <c r="R43" s="14" t="s">
        <v>107</v>
      </c>
      <c r="S43" s="14" t="s">
        <v>60</v>
      </c>
      <c r="T43" s="17"/>
      <c r="U43" s="17"/>
      <c r="V43" s="15" t="str">
        <f aca="false">IF(N(I43)*N(T43)+N(J43)*N(U43)=0,"",N(I43)*N(T43)+N(J43)*N(U43))</f>
        <v/>
      </c>
    </row>
    <row r="44" customFormat="false" ht="15" hidden="false" customHeight="false" outlineLevel="0" collapsed="false">
      <c r="B44" s="14" t="s">
        <v>112</v>
      </c>
      <c r="C44" s="14" t="s">
        <v>50</v>
      </c>
      <c r="D44" s="14" t="s">
        <v>54</v>
      </c>
      <c r="E44" s="15" t="n">
        <v>300000</v>
      </c>
      <c r="F44" s="15"/>
      <c r="G44" s="14" t="s">
        <v>52</v>
      </c>
      <c r="H44" s="16" t="n">
        <f aca="false">Параметры!$C$4</f>
        <v>0.1</v>
      </c>
      <c r="I44" s="15" t="n">
        <f aca="false">IF(E44="","",ROUND(E44*(1+$H44)/Параметры!$C$5,0)*Параметры!$C$5)</f>
        <v>330000</v>
      </c>
      <c r="J44" s="15" t="str">
        <f aca="false">IF(F44="","",ROUND(F44*(1+$H44)/Параметры!$C$5,0)*Параметры!$C$5)</f>
        <v/>
      </c>
      <c r="K44" s="14" t="s">
        <v>54</v>
      </c>
      <c r="L44" s="14" t="n">
        <v>20</v>
      </c>
      <c r="M44" s="14" t="s">
        <v>54</v>
      </c>
      <c r="N44" s="14" t="n">
        <v>10</v>
      </c>
      <c r="O44" s="14" t="s">
        <v>54</v>
      </c>
      <c r="P44" s="14" t="s">
        <v>54</v>
      </c>
      <c r="Q44" s="14" t="s">
        <v>54</v>
      </c>
      <c r="R44" s="14" t="s">
        <v>56</v>
      </c>
      <c r="S44" s="14" t="s">
        <v>65</v>
      </c>
      <c r="T44" s="17"/>
      <c r="U44" s="17"/>
      <c r="V44" s="15" t="str">
        <f aca="false">IF(N(I44)*N(T44)+N(J44)*N(U44)=0,"",N(I44)*N(T44)+N(J44)*N(U44))</f>
        <v/>
      </c>
    </row>
    <row r="45" customFormat="false" ht="15" hidden="false" customHeight="false" outlineLevel="0" collapsed="false">
      <c r="B45" s="14" t="s">
        <v>112</v>
      </c>
      <c r="C45" s="14" t="s">
        <v>67</v>
      </c>
      <c r="D45" s="14" t="s">
        <v>54</v>
      </c>
      <c r="E45" s="15" t="n">
        <v>200000</v>
      </c>
      <c r="F45" s="15"/>
      <c r="G45" s="14" t="s">
        <v>52</v>
      </c>
      <c r="H45" s="16" t="n">
        <f aca="false">Параметры!$C$4</f>
        <v>0.1</v>
      </c>
      <c r="I45" s="15" t="n">
        <f aca="false">IF(E45="","",ROUND(E45*(1+$H45)/Параметры!$C$5,0)*Параметры!$C$5)</f>
        <v>220000</v>
      </c>
      <c r="J45" s="15" t="str">
        <f aca="false">IF(F45="","",ROUND(F45*(1+$H45)/Параметры!$C$5,0)*Параметры!$C$5)</f>
        <v/>
      </c>
      <c r="K45" s="14" t="s">
        <v>54</v>
      </c>
      <c r="L45" s="14" t="n">
        <v>20</v>
      </c>
      <c r="M45" s="14" t="s">
        <v>54</v>
      </c>
      <c r="N45" s="14" t="n">
        <v>10</v>
      </c>
      <c r="O45" s="14" t="s">
        <v>54</v>
      </c>
      <c r="P45" s="14" t="s">
        <v>54</v>
      </c>
      <c r="Q45" s="14" t="s">
        <v>54</v>
      </c>
      <c r="R45" s="14" t="s">
        <v>56</v>
      </c>
      <c r="S45" s="14" t="s">
        <v>65</v>
      </c>
      <c r="T45" s="17"/>
      <c r="U45" s="17"/>
      <c r="V45" s="15" t="str">
        <f aca="false">IF(N(I45)*N(T45)+N(J45)*N(U45)=0,"",N(I45)*N(T45)+N(J45)*N(U45))</f>
        <v/>
      </c>
    </row>
    <row r="46" customFormat="false" ht="15" hidden="false" customHeight="false" outlineLevel="0" collapsed="false">
      <c r="B46" s="14" t="s">
        <v>113</v>
      </c>
      <c r="C46" s="14" t="s">
        <v>89</v>
      </c>
      <c r="D46" s="14" t="s">
        <v>54</v>
      </c>
      <c r="E46" s="15" t="n">
        <v>75000</v>
      </c>
      <c r="F46" s="15"/>
      <c r="G46" s="14" t="s">
        <v>52</v>
      </c>
      <c r="H46" s="16" t="n">
        <f aca="false">Параметры!$C$4</f>
        <v>0.1</v>
      </c>
      <c r="I46" s="15" t="n">
        <f aca="false">IF(E46="","",ROUND(E46*(1+$H46)/Параметры!$C$5,0)*Параметры!$C$5)</f>
        <v>85000</v>
      </c>
      <c r="J46" s="15" t="str">
        <f aca="false">IF(F46="","",ROUND(F46*(1+$H46)/Параметры!$C$5,0)*Параметры!$C$5)</f>
        <v/>
      </c>
      <c r="K46" s="14" t="s">
        <v>54</v>
      </c>
      <c r="L46" s="14" t="n">
        <v>3</v>
      </c>
      <c r="M46" s="14" t="s">
        <v>54</v>
      </c>
      <c r="N46" s="14" t="n">
        <v>3</v>
      </c>
      <c r="O46" s="14" t="s">
        <v>54</v>
      </c>
      <c r="P46" s="14" t="s">
        <v>54</v>
      </c>
      <c r="Q46" s="14" t="s">
        <v>99</v>
      </c>
      <c r="R46" s="14" t="s">
        <v>56</v>
      </c>
      <c r="S46" s="14"/>
      <c r="T46" s="17"/>
      <c r="U46" s="17"/>
      <c r="V46" s="15" t="str">
        <f aca="false">IF(N(I46)*N(T46)+N(J46)*N(U46)=0,"",N(I46)*N(T46)+N(J46)*N(U46))</f>
        <v/>
      </c>
    </row>
    <row r="47" customFormat="false" ht="15" hidden="false" customHeight="false" outlineLevel="0" collapsed="false">
      <c r="B47" s="12" t="s">
        <v>114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customFormat="false" ht="15" hidden="false" customHeight="false" outlineLevel="0" collapsed="false">
      <c r="B48" s="14" t="s">
        <v>115</v>
      </c>
      <c r="C48" s="14" t="s">
        <v>116</v>
      </c>
      <c r="D48" s="14" t="s">
        <v>54</v>
      </c>
      <c r="E48" s="15" t="n">
        <v>10000</v>
      </c>
      <c r="F48" s="15"/>
      <c r="G48" s="14" t="s">
        <v>117</v>
      </c>
      <c r="H48" s="16" t="n">
        <f aca="false">Параметры!$C$4</f>
        <v>0.1</v>
      </c>
      <c r="I48" s="15" t="n">
        <f aca="false">IF(E48="","",ROUND(E48*(1+$H48)/100,0)*100)</f>
        <v>11000</v>
      </c>
      <c r="J48" s="15" t="str">
        <f aca="false">IF(F48="","",ROUND(F48*(1+$H48)/100,0)*100)</f>
        <v/>
      </c>
      <c r="K48" s="14" t="s">
        <v>54</v>
      </c>
      <c r="L48" s="14" t="s">
        <v>54</v>
      </c>
      <c r="M48" s="14" t="s">
        <v>54</v>
      </c>
      <c r="N48" s="14" t="s">
        <v>54</v>
      </c>
      <c r="O48" s="14" t="s">
        <v>54</v>
      </c>
      <c r="P48" s="14" t="s">
        <v>54</v>
      </c>
      <c r="Q48" s="14" t="s">
        <v>54</v>
      </c>
      <c r="R48" s="14" t="s">
        <v>56</v>
      </c>
      <c r="S48" s="14"/>
      <c r="T48" s="17"/>
      <c r="U48" s="17"/>
      <c r="V48" s="15" t="str">
        <f aca="false">IF(N(I48)*N(T48)+N(J48)*N(U48)=0,"",N(I48)*N(T48)+N(J48)*N(U48))</f>
        <v/>
      </c>
    </row>
    <row r="49" customFormat="false" ht="15" hidden="false" customHeight="false" outlineLevel="0" collapsed="false">
      <c r="B49" s="14" t="s">
        <v>118</v>
      </c>
      <c r="C49" s="14" t="s">
        <v>116</v>
      </c>
      <c r="D49" s="14" t="s">
        <v>54</v>
      </c>
      <c r="E49" s="15" t="n">
        <v>20000</v>
      </c>
      <c r="F49" s="15"/>
      <c r="G49" s="14" t="s">
        <v>117</v>
      </c>
      <c r="H49" s="16" t="n">
        <f aca="false">Параметры!$C$4</f>
        <v>0.1</v>
      </c>
      <c r="I49" s="15" t="n">
        <f aca="false">IF(E49="","",ROUND(E49*(1+$H49)/100,0)*100)</f>
        <v>22000</v>
      </c>
      <c r="J49" s="15" t="str">
        <f aca="false">IF(F49="","",ROUND(F49*(1+$H49)/100,0)*100)</f>
        <v/>
      </c>
      <c r="K49" s="14" t="s">
        <v>54</v>
      </c>
      <c r="L49" s="14" t="s">
        <v>54</v>
      </c>
      <c r="M49" s="14" t="s">
        <v>54</v>
      </c>
      <c r="N49" s="14" t="s">
        <v>54</v>
      </c>
      <c r="O49" s="14" t="s">
        <v>54</v>
      </c>
      <c r="P49" s="14" t="s">
        <v>54</v>
      </c>
      <c r="Q49" s="14" t="s">
        <v>54</v>
      </c>
      <c r="R49" s="14" t="s">
        <v>56</v>
      </c>
      <c r="S49" s="14"/>
      <c r="T49" s="17"/>
      <c r="U49" s="17"/>
      <c r="V49" s="15" t="str">
        <f aca="false">IF(N(I49)*N(T49)+N(J49)*N(U49)=0,"",N(I49)*N(T49)+N(J49)*N(U49))</f>
        <v/>
      </c>
    </row>
    <row r="50" customFormat="false" ht="15" hidden="false" customHeight="false" outlineLevel="0" collapsed="false">
      <c r="B50" s="14" t="s">
        <v>119</v>
      </c>
      <c r="C50" s="14" t="s">
        <v>116</v>
      </c>
      <c r="D50" s="14" t="s">
        <v>54</v>
      </c>
      <c r="E50" s="15" t="n">
        <v>15000</v>
      </c>
      <c r="F50" s="15"/>
      <c r="G50" s="14" t="s">
        <v>117</v>
      </c>
      <c r="H50" s="16" t="n">
        <f aca="false">Параметры!$C$4</f>
        <v>0.1</v>
      </c>
      <c r="I50" s="15" t="n">
        <f aca="false">IF(E50="","",ROUND(E50*(1+$H50)/100,0)*100)</f>
        <v>16500</v>
      </c>
      <c r="J50" s="15" t="str">
        <f aca="false">IF(F50="","",ROUND(F50*(1+$H50)/100,0)*100)</f>
        <v/>
      </c>
      <c r="K50" s="14" t="s">
        <v>54</v>
      </c>
      <c r="L50" s="14" t="s">
        <v>54</v>
      </c>
      <c r="M50" s="14" t="s">
        <v>54</v>
      </c>
      <c r="N50" s="14" t="s">
        <v>54</v>
      </c>
      <c r="O50" s="14" t="s">
        <v>54</v>
      </c>
      <c r="P50" s="14" t="s">
        <v>54</v>
      </c>
      <c r="Q50" s="14" t="s">
        <v>54</v>
      </c>
      <c r="R50" s="14" t="s">
        <v>56</v>
      </c>
      <c r="S50" s="14"/>
      <c r="T50" s="17"/>
      <c r="U50" s="17"/>
      <c r="V50" s="15" t="str">
        <f aca="false">IF(N(I50)*N(T50)+N(J50)*N(U50)=0,"",N(I50)*N(T50)+N(J50)*N(U50))</f>
        <v/>
      </c>
    </row>
    <row r="51" customFormat="false" ht="15" hidden="false" customHeight="false" outlineLevel="0" collapsed="false">
      <c r="B51" s="14" t="s">
        <v>120</v>
      </c>
      <c r="C51" s="14" t="s">
        <v>116</v>
      </c>
      <c r="D51" s="14" t="s">
        <v>54</v>
      </c>
      <c r="E51" s="15" t="n">
        <v>35000</v>
      </c>
      <c r="F51" s="15"/>
      <c r="G51" s="14" t="s">
        <v>117</v>
      </c>
      <c r="H51" s="16" t="n">
        <f aca="false">Параметры!$C$4</f>
        <v>0.1</v>
      </c>
      <c r="I51" s="15" t="n">
        <f aca="false">IF(E51="","",ROUND(E51*(1+$H51)/100,0)*100)</f>
        <v>38500</v>
      </c>
      <c r="J51" s="15" t="str">
        <f aca="false">IF(F51="","",ROUND(F51*(1+$H51)/100,0)*100)</f>
        <v/>
      </c>
      <c r="K51" s="14" t="s">
        <v>54</v>
      </c>
      <c r="L51" s="14" t="s">
        <v>54</v>
      </c>
      <c r="M51" s="14" t="s">
        <v>54</v>
      </c>
      <c r="N51" s="14" t="s">
        <v>54</v>
      </c>
      <c r="O51" s="14" t="s">
        <v>54</v>
      </c>
      <c r="P51" s="14" t="s">
        <v>54</v>
      </c>
      <c r="Q51" s="14" t="s">
        <v>54</v>
      </c>
      <c r="R51" s="14" t="s">
        <v>56</v>
      </c>
      <c r="S51" s="14"/>
      <c r="T51" s="17"/>
      <c r="U51" s="17"/>
      <c r="V51" s="15" t="str">
        <f aca="false">IF(N(I51)*N(T51)+N(J51)*N(U51)=0,"",N(I51)*N(T51)+N(J51)*N(U51))</f>
        <v/>
      </c>
    </row>
    <row r="52" customFormat="false" ht="15" hidden="false" customHeight="false" outlineLevel="0" collapsed="false">
      <c r="B52" s="14" t="s">
        <v>121</v>
      </c>
      <c r="C52" s="14" t="s">
        <v>116</v>
      </c>
      <c r="D52" s="14" t="s">
        <v>54</v>
      </c>
      <c r="E52" s="15" t="n">
        <v>30000</v>
      </c>
      <c r="F52" s="15"/>
      <c r="G52" s="14" t="s">
        <v>117</v>
      </c>
      <c r="H52" s="16" t="n">
        <f aca="false">Параметры!$C$4</f>
        <v>0.1</v>
      </c>
      <c r="I52" s="15" t="n">
        <f aca="false">IF(E52="","",ROUND(E52*(1+$H52)/100,0)*100)</f>
        <v>33000</v>
      </c>
      <c r="J52" s="15" t="str">
        <f aca="false">IF(F52="","",ROUND(F52*(1+$H52)/100,0)*100)</f>
        <v/>
      </c>
      <c r="K52" s="14" t="s">
        <v>54</v>
      </c>
      <c r="L52" s="14" t="s">
        <v>54</v>
      </c>
      <c r="M52" s="14" t="s">
        <v>54</v>
      </c>
      <c r="N52" s="14" t="s">
        <v>54</v>
      </c>
      <c r="O52" s="14" t="s">
        <v>54</v>
      </c>
      <c r="P52" s="14" t="s">
        <v>54</v>
      </c>
      <c r="Q52" s="14" t="s">
        <v>54</v>
      </c>
      <c r="R52" s="14" t="s">
        <v>56</v>
      </c>
      <c r="S52" s="14"/>
      <c r="T52" s="17"/>
      <c r="U52" s="17"/>
      <c r="V52" s="15" t="str">
        <f aca="false">IF(N(I52)*N(T52)+N(J52)*N(U52)=0,"",N(I52)*N(T52)+N(J52)*N(U52))</f>
        <v/>
      </c>
    </row>
    <row r="53" customFormat="false" ht="15" hidden="false" customHeight="false" outlineLevel="0" collapsed="false">
      <c r="B53" s="14" t="s">
        <v>122</v>
      </c>
      <c r="C53" s="14" t="s">
        <v>116</v>
      </c>
      <c r="D53" s="14" t="s">
        <v>54</v>
      </c>
      <c r="E53" s="15" t="n">
        <v>2000</v>
      </c>
      <c r="F53" s="15"/>
      <c r="G53" s="14" t="s">
        <v>123</v>
      </c>
      <c r="H53" s="16" t="n">
        <f aca="false">Параметры!$C$4</f>
        <v>0.1</v>
      </c>
      <c r="I53" s="15" t="n">
        <f aca="false">IF(E53="","",ROUND(E53*(1+$H53)/100,0)*100)</f>
        <v>2200</v>
      </c>
      <c r="J53" s="15" t="str">
        <f aca="false">IF(F53="","",ROUND(F53*(1+$H53)/100,0)*100)</f>
        <v/>
      </c>
      <c r="K53" s="14" t="s">
        <v>54</v>
      </c>
      <c r="L53" s="14" t="s">
        <v>54</v>
      </c>
      <c r="M53" s="14" t="s">
        <v>54</v>
      </c>
      <c r="N53" s="14" t="s">
        <v>54</v>
      </c>
      <c r="O53" s="14" t="s">
        <v>54</v>
      </c>
      <c r="P53" s="14" t="s">
        <v>54</v>
      </c>
      <c r="Q53" s="14" t="s">
        <v>54</v>
      </c>
      <c r="R53" s="14" t="s">
        <v>56</v>
      </c>
      <c r="S53" s="14"/>
      <c r="T53" s="17"/>
      <c r="U53" s="17"/>
      <c r="V53" s="15" t="str">
        <f aca="false">IF(N(I53)*N(T53)+N(J53)*N(U53)=0,"",N(I53)*N(T53)+N(J53)*N(U53))</f>
        <v/>
      </c>
    </row>
    <row r="54" customFormat="false" ht="15" hidden="false" customHeight="false" outlineLevel="0" collapsed="false">
      <c r="B54" s="18" t="s">
        <v>124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20" t="n">
        <f aca="false">SUM(V5:V53)</f>
        <v>0</v>
      </c>
    </row>
    <row r="56" customFormat="false" ht="15" hidden="false" customHeight="false" outlineLevel="0" collapsed="false">
      <c r="B56" s="6" t="s">
        <v>125</v>
      </c>
    </row>
    <row r="57" customFormat="false" ht="15" hidden="false" customHeight="false" outlineLevel="0" collapsed="false">
      <c r="B57" s="8" t="s">
        <v>126</v>
      </c>
    </row>
    <row r="58" customFormat="false" ht="15" hidden="false" customHeight="false" outlineLevel="0" collapsed="false">
      <c r="B58" s="8" t="s">
        <v>127</v>
      </c>
    </row>
    <row r="59" customFormat="false" ht="15" hidden="false" customHeight="false" outlineLevel="0" collapsed="false">
      <c r="B59" s="8" t="s">
        <v>128</v>
      </c>
    </row>
    <row r="60" customFormat="false" ht="15" hidden="false" customHeight="false" outlineLevel="0" collapsed="false">
      <c r="B60" s="8" t="s">
        <v>129</v>
      </c>
    </row>
    <row r="61" customFormat="false" ht="15" hidden="false" customHeight="false" outlineLevel="0" collapsed="false">
      <c r="B61" s="8" t="s">
        <v>130</v>
      </c>
    </row>
  </sheetData>
  <mergeCells count="1">
    <mergeCell ref="B2:V2"/>
  </mergeCells>
  <dataValidations count="1">
    <dataValidation allowBlank="true" errorStyle="stop" operator="between" showDropDown="false" showErrorMessage="false" showInputMessage="false" sqref="R6:S10 R12:S17 R19:S28 R30:S46 R48:S53" type="list">
      <formula1>"Оферта,Договор бар ВИП,Деление выручки,Гастроспонсорство"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6" min="3" style="0" width="42"/>
  </cols>
  <sheetData>
    <row r="1" customFormat="false" ht="16.15" hidden="false" customHeight="false" outlineLevel="0" collapsed="false">
      <c r="B1" s="1" t="s">
        <v>131</v>
      </c>
    </row>
    <row r="2" customFormat="false" ht="15" hidden="false" customHeight="false" outlineLevel="0" collapsed="false">
      <c r="B2" s="21" t="s">
        <v>132</v>
      </c>
      <c r="C2" s="21"/>
      <c r="D2" s="21"/>
      <c r="E2" s="21"/>
      <c r="F2" s="21"/>
    </row>
    <row r="4" customFormat="false" ht="15" hidden="false" customHeight="false" outlineLevel="0" collapsed="false">
      <c r="B4" s="11" t="s">
        <v>1</v>
      </c>
      <c r="C4" s="11" t="s">
        <v>133</v>
      </c>
      <c r="D4" s="11" t="s">
        <v>134</v>
      </c>
      <c r="E4" s="11" t="s">
        <v>135</v>
      </c>
      <c r="F4" s="11" t="s">
        <v>136</v>
      </c>
    </row>
    <row r="5" customFormat="false" ht="60" hidden="false" customHeight="true" outlineLevel="0" collapsed="false">
      <c r="B5" s="22" t="s">
        <v>137</v>
      </c>
      <c r="C5" s="3" t="s">
        <v>138</v>
      </c>
      <c r="D5" s="3" t="s">
        <v>139</v>
      </c>
      <c r="E5" s="3" t="s">
        <v>140</v>
      </c>
      <c r="F5" s="3" t="s">
        <v>141</v>
      </c>
    </row>
    <row r="6" customFormat="false" ht="45" hidden="false" customHeight="true" outlineLevel="0" collapsed="false">
      <c r="B6" s="22" t="s">
        <v>142</v>
      </c>
      <c r="C6" s="3" t="s">
        <v>143</v>
      </c>
      <c r="D6" s="3" t="s">
        <v>144</v>
      </c>
      <c r="E6" s="3" t="s">
        <v>145</v>
      </c>
      <c r="F6" s="3" t="s">
        <v>146</v>
      </c>
    </row>
    <row r="7" customFormat="false" ht="105" hidden="false" customHeight="true" outlineLevel="0" collapsed="false">
      <c r="B7" s="22" t="s">
        <v>147</v>
      </c>
      <c r="C7" s="3" t="s">
        <v>148</v>
      </c>
      <c r="D7" s="3" t="s">
        <v>149</v>
      </c>
      <c r="E7" s="3" t="s">
        <v>150</v>
      </c>
      <c r="F7" s="3" t="s">
        <v>151</v>
      </c>
    </row>
    <row r="8" customFormat="false" ht="45" hidden="false" customHeight="true" outlineLevel="0" collapsed="false">
      <c r="B8" s="22" t="s">
        <v>152</v>
      </c>
      <c r="C8" s="3" t="s">
        <v>153</v>
      </c>
      <c r="D8" s="3" t="s">
        <v>154</v>
      </c>
      <c r="E8" s="3" t="s">
        <v>155</v>
      </c>
      <c r="F8" s="3" t="s">
        <v>156</v>
      </c>
    </row>
    <row r="9" customFormat="false" ht="60" hidden="false" customHeight="true" outlineLevel="0" collapsed="false">
      <c r="B9" s="22" t="s">
        <v>157</v>
      </c>
      <c r="C9" s="3" t="s">
        <v>158</v>
      </c>
      <c r="D9" s="3" t="s">
        <v>159</v>
      </c>
      <c r="E9" s="3" t="s">
        <v>160</v>
      </c>
      <c r="F9" s="3" t="s">
        <v>161</v>
      </c>
    </row>
    <row r="10" customFormat="false" ht="60" hidden="false" customHeight="true" outlineLevel="0" collapsed="false">
      <c r="B10" s="22" t="s">
        <v>162</v>
      </c>
      <c r="C10" s="3" t="s">
        <v>163</v>
      </c>
      <c r="D10" s="3" t="s">
        <v>164</v>
      </c>
      <c r="E10" s="3" t="s">
        <v>165</v>
      </c>
      <c r="F10" s="3" t="s">
        <v>166</v>
      </c>
    </row>
    <row r="11" customFormat="false" ht="60" hidden="false" customHeight="true" outlineLevel="0" collapsed="false">
      <c r="B11" s="22" t="s">
        <v>167</v>
      </c>
      <c r="C11" s="3" t="s">
        <v>168</v>
      </c>
      <c r="D11" s="3" t="s">
        <v>169</v>
      </c>
      <c r="E11" s="3" t="s">
        <v>170</v>
      </c>
      <c r="F11" s="3" t="s">
        <v>171</v>
      </c>
    </row>
    <row r="12" customFormat="false" ht="60" hidden="false" customHeight="true" outlineLevel="0" collapsed="false">
      <c r="B12" s="22" t="s">
        <v>172</v>
      </c>
      <c r="C12" s="3" t="s">
        <v>173</v>
      </c>
      <c r="D12" s="3" t="s">
        <v>174</v>
      </c>
      <c r="E12" s="3" t="s">
        <v>175</v>
      </c>
      <c r="F12" s="3" t="s">
        <v>176</v>
      </c>
    </row>
    <row r="13" customFormat="false" ht="90" hidden="false" customHeight="true" outlineLevel="0" collapsed="false">
      <c r="B13" s="22" t="s">
        <v>177</v>
      </c>
      <c r="C13" s="3" t="s">
        <v>178</v>
      </c>
      <c r="D13" s="3" t="s">
        <v>179</v>
      </c>
      <c r="E13" s="3" t="s">
        <v>180</v>
      </c>
      <c r="F13" s="3" t="s">
        <v>181</v>
      </c>
    </row>
    <row r="14" customFormat="false" ht="45" hidden="false" customHeight="true" outlineLevel="0" collapsed="false">
      <c r="B14" s="22" t="s">
        <v>182</v>
      </c>
      <c r="C14" s="3" t="s">
        <v>183</v>
      </c>
      <c r="D14" s="3" t="s">
        <v>184</v>
      </c>
      <c r="E14" s="3" t="s">
        <v>185</v>
      </c>
      <c r="F14" s="3" t="s">
        <v>186</v>
      </c>
    </row>
    <row r="15" customFormat="false" ht="60" hidden="false" customHeight="true" outlineLevel="0" collapsed="false">
      <c r="B15" s="22" t="s">
        <v>187</v>
      </c>
      <c r="C15" s="3" t="s">
        <v>188</v>
      </c>
      <c r="D15" s="3" t="s">
        <v>189</v>
      </c>
      <c r="E15" s="3" t="s">
        <v>190</v>
      </c>
      <c r="F15" s="3" t="s">
        <v>191</v>
      </c>
    </row>
    <row r="16" customFormat="false" ht="60" hidden="false" customHeight="true" outlineLevel="0" collapsed="false">
      <c r="B16" s="22" t="s">
        <v>192</v>
      </c>
      <c r="C16" s="3" t="s">
        <v>193</v>
      </c>
      <c r="D16" s="3" t="s">
        <v>194</v>
      </c>
      <c r="E16" s="3" t="s">
        <v>195</v>
      </c>
      <c r="F16" s="3" t="s">
        <v>196</v>
      </c>
    </row>
    <row r="17" customFormat="false" ht="75" hidden="false" customHeight="true" outlineLevel="0" collapsed="false">
      <c r="B17" s="22" t="s">
        <v>197</v>
      </c>
      <c r="C17" s="3" t="s">
        <v>198</v>
      </c>
      <c r="D17" s="3" t="s">
        <v>199</v>
      </c>
      <c r="E17" s="3" t="s">
        <v>200</v>
      </c>
      <c r="F17" s="3" t="s">
        <v>201</v>
      </c>
    </row>
    <row r="18" customFormat="false" ht="45" hidden="false" customHeight="true" outlineLevel="0" collapsed="false">
      <c r="B18" s="22" t="s">
        <v>202</v>
      </c>
      <c r="C18" s="3" t="s">
        <v>203</v>
      </c>
      <c r="D18" s="3" t="s">
        <v>204</v>
      </c>
      <c r="E18" s="3" t="s">
        <v>205</v>
      </c>
      <c r="F18" s="3" t="s">
        <v>206</v>
      </c>
    </row>
    <row r="19" customFormat="false" ht="45" hidden="false" customHeight="true" outlineLevel="0" collapsed="false">
      <c r="B19" s="22" t="s">
        <v>207</v>
      </c>
      <c r="C19" s="3" t="s">
        <v>208</v>
      </c>
      <c r="D19" s="3" t="s">
        <v>209</v>
      </c>
      <c r="E19" s="3" t="s">
        <v>210</v>
      </c>
      <c r="F19" s="3" t="s">
        <v>211</v>
      </c>
    </row>
    <row r="20" customFormat="false" ht="45" hidden="false" customHeight="true" outlineLevel="0" collapsed="false">
      <c r="B20" s="22" t="s">
        <v>212</v>
      </c>
      <c r="C20" s="3" t="s">
        <v>213</v>
      </c>
      <c r="D20" s="3" t="s">
        <v>214</v>
      </c>
      <c r="E20" s="3" t="s">
        <v>215</v>
      </c>
      <c r="F20" s="3" t="s">
        <v>216</v>
      </c>
    </row>
    <row r="21" customFormat="false" ht="45" hidden="false" customHeight="true" outlineLevel="0" collapsed="false">
      <c r="B21" s="22" t="s">
        <v>217</v>
      </c>
      <c r="C21" s="3" t="s">
        <v>218</v>
      </c>
      <c r="D21" s="3" t="s">
        <v>219</v>
      </c>
      <c r="E21" s="3" t="s">
        <v>220</v>
      </c>
      <c r="F21" s="3" t="s">
        <v>221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34"/>
  </cols>
  <sheetData>
    <row r="1" customFormat="false" ht="16.15" hidden="false" customHeight="false" outlineLevel="0" collapsed="false">
      <c r="B1" s="1" t="s">
        <v>222</v>
      </c>
    </row>
    <row r="2" customFormat="false" ht="15" hidden="false" customHeight="false" outlineLevel="0" collapsed="false">
      <c r="B2" s="23" t="s">
        <v>223</v>
      </c>
    </row>
    <row r="4" customFormat="false" ht="15" hidden="false" customHeight="false" outlineLevel="0" collapsed="false">
      <c r="B4" s="12" t="s">
        <v>224</v>
      </c>
      <c r="C4" s="13"/>
    </row>
    <row r="5" customFormat="false" ht="15" hidden="false" customHeight="false" outlineLevel="0" collapsed="false">
      <c r="B5" s="24" t="s">
        <v>225</v>
      </c>
      <c r="C5" s="25" t="n">
        <v>3000000</v>
      </c>
    </row>
    <row r="6" customFormat="false" ht="15" hidden="false" customHeight="false" outlineLevel="0" collapsed="false">
      <c r="B6" s="24" t="s">
        <v>226</v>
      </c>
      <c r="C6" s="26" t="n">
        <f aca="false">Параметры!$C$9</f>
        <v>0.25</v>
      </c>
    </row>
    <row r="7" customFormat="false" ht="15" hidden="false" customHeight="false" outlineLevel="0" collapsed="false">
      <c r="B7" s="24" t="s">
        <v>227</v>
      </c>
      <c r="C7" s="25" t="n">
        <v>400000</v>
      </c>
    </row>
    <row r="8" customFormat="false" ht="15" hidden="false" customHeight="false" outlineLevel="0" collapsed="false">
      <c r="B8" s="24" t="s">
        <v>228</v>
      </c>
      <c r="C8" s="25" t="n">
        <v>250000</v>
      </c>
    </row>
    <row r="9" customFormat="false" ht="15" hidden="false" customHeight="false" outlineLevel="0" collapsed="false">
      <c r="B9" s="24" t="s">
        <v>229</v>
      </c>
      <c r="C9" s="27" t="n">
        <f aca="false">C5*C6</f>
        <v>750000</v>
      </c>
    </row>
    <row r="10" customFormat="false" ht="15" hidden="false" customHeight="false" outlineLevel="0" collapsed="false">
      <c r="B10" s="24" t="s">
        <v>230</v>
      </c>
      <c r="C10" s="27" t="n">
        <f aca="false">MAX(C7,C5*C6)</f>
        <v>750000</v>
      </c>
    </row>
    <row r="11" customFormat="false" ht="15" hidden="false" customHeight="false" outlineLevel="0" collapsed="false">
      <c r="B11" s="24" t="s">
        <v>231</v>
      </c>
      <c r="C11" s="28" t="n">
        <f aca="false">C10-C8</f>
        <v>500000</v>
      </c>
    </row>
    <row r="12" customFormat="false" ht="15" hidden="false" customHeight="false" outlineLevel="0" collapsed="false">
      <c r="B12" s="24" t="s">
        <v>232</v>
      </c>
      <c r="C12" s="27" t="n">
        <f aca="false">IF(C6=0,"",C8/C6)</f>
        <v>1000000</v>
      </c>
    </row>
    <row r="13" customFormat="false" ht="15" hidden="false" customHeight="false" outlineLevel="0" collapsed="false">
      <c r="B13" s="29" t="s">
        <v>233</v>
      </c>
      <c r="C13" s="30" t="str">
        <f aca="false">IF(C11&gt;=0,"Деление выгоднее или равно фиксу","Фикс выгоднее для организатора")</f>
        <v>Деление выгоднее или равно фиксу</v>
      </c>
    </row>
    <row r="16" customFormat="false" ht="15" hidden="false" customHeight="false" outlineLevel="0" collapsed="false">
      <c r="B16" s="12" t="s">
        <v>234</v>
      </c>
      <c r="C16" s="13"/>
    </row>
    <row r="17" customFormat="false" ht="15" hidden="false" customHeight="false" outlineLevel="0" collapsed="false">
      <c r="B17" s="24" t="s">
        <v>225</v>
      </c>
      <c r="C17" s="25" t="n">
        <v>1500000</v>
      </c>
    </row>
    <row r="18" customFormat="false" ht="15" hidden="false" customHeight="false" outlineLevel="0" collapsed="false">
      <c r="B18" s="24" t="s">
        <v>226</v>
      </c>
      <c r="C18" s="26" t="n">
        <f aca="false">Параметры!$C$8</f>
        <v>0.2</v>
      </c>
    </row>
    <row r="19" customFormat="false" ht="15" hidden="false" customHeight="false" outlineLevel="0" collapsed="false">
      <c r="B19" s="24" t="s">
        <v>227</v>
      </c>
      <c r="C19" s="25" t="n">
        <v>200000</v>
      </c>
    </row>
    <row r="20" customFormat="false" ht="15" hidden="false" customHeight="false" outlineLevel="0" collapsed="false">
      <c r="B20" s="24" t="s">
        <v>228</v>
      </c>
      <c r="C20" s="25" t="n">
        <f aca="false">'Матрица 2027'!I9</f>
        <v>310000</v>
      </c>
    </row>
    <row r="21" customFormat="false" ht="15" hidden="false" customHeight="false" outlineLevel="0" collapsed="false">
      <c r="B21" s="24" t="s">
        <v>229</v>
      </c>
      <c r="C21" s="27" t="n">
        <f aca="false">C17*C18</f>
        <v>300000</v>
      </c>
    </row>
    <row r="22" customFormat="false" ht="15" hidden="false" customHeight="false" outlineLevel="0" collapsed="false">
      <c r="B22" s="24" t="s">
        <v>230</v>
      </c>
      <c r="C22" s="27" t="n">
        <f aca="false">MAX(C19,C17*C18)</f>
        <v>300000</v>
      </c>
    </row>
    <row r="23" customFormat="false" ht="15" hidden="false" customHeight="false" outlineLevel="0" collapsed="false">
      <c r="B23" s="24" t="s">
        <v>231</v>
      </c>
      <c r="C23" s="28" t="n">
        <f aca="false">C22-C20</f>
        <v>-10000</v>
      </c>
    </row>
    <row r="24" customFormat="false" ht="15" hidden="false" customHeight="false" outlineLevel="0" collapsed="false">
      <c r="B24" s="24" t="s">
        <v>232</v>
      </c>
      <c r="C24" s="27" t="n">
        <f aca="false">IF(C18=0,"",C20/C18)</f>
        <v>1550000</v>
      </c>
    </row>
    <row r="25" customFormat="false" ht="15" hidden="false" customHeight="false" outlineLevel="0" collapsed="false">
      <c r="B25" s="29" t="s">
        <v>233</v>
      </c>
      <c r="C25" s="30" t="str">
        <f aca="false">IF(C23&gt;=0,"Деление выгоднее или равно фиксу","Фикс выгоднее для организатора")</f>
        <v>Фикс выгоднее для организатора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2026-10-16T13:29:15Z</dcterms:created>
  <dc:creator>openpyxl</dc:creator>
  <dc:description/>
  <dc:language>en-US</dc:language>
  <cp:lastModifiedBy/>
  <dcterms:modified xsi:type="dcterms:W3CDTF">2026-10-16T13:29:15Z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