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араметры" sheetId="1" state="visible" r:id="rId3"/>
    <sheet name="Матрица 2027" sheetId="2" state="visible" r:id="rId4"/>
    <sheet name="Форматы договоров" sheetId="3" state="visible" r:id="rId5"/>
    <sheet name="Калькулятор" sheetId="4" state="visible" r:id="rId6"/>
    <sheet name="Резиденты — уровни" sheetId="5" state="visible" r:id="rId7"/>
    <sheet name="Резиденты — план" sheetId="6" state="visible" r:id="rId8"/>
    <sheet name="Резиденты — лонг-лист" sheetId="7" state="visible" r:id="rId9"/>
  </sheets>
  <definedNames>
    <definedName function="false" hidden="true" localSheetId="6" name="_xlnm._FilterDatabase" vbProcedure="false">'Резиденты — лонг-лист'!$B$4:$V$204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5" authorId="0">
      <text>
        <r>
          <rPr>
            <sz val="10"/>
            <rFont val="Arial"/>
            <family val="2"/>
          </rPr>
          <t xml:space="preserve">По умолчанию = общий индекс с листа «Параметры». Можно перезаписать числом для конкретного пакета (напр. 15% для дефицитных форматов).</t>
        </r>
      </text>
    </comment>
    <comment ref="T5" authorId="0">
      <text>
        <r>
          <rPr>
            <sz val="10"/>
            <rFont val="Arial"/>
            <family val="2"/>
          </rPr>
          <t xml:space="preserve">Введите плановое количество проданных пакетов — выручка посчитается автоматически.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Ориентир по практике гастрофестивалей, не норматив. Фактическая доля по вашему плану считается на листе «Резиденты — план».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U5" authorId="0">
      <text>
        <r>
          <rPr>
            <sz val="10"/>
            <rFont val="Arial"/>
            <family val="2"/>
          </rPr>
          <t xml:space="preserve">Цена берётся из «Матрица 2027» по паре Пакет + Город. Если пакета нет в этом городе (напр. Фудтрак в Москве) — будет «—».</t>
        </r>
      </text>
    </comment>
  </commentList>
</comments>
</file>

<file path=xl/sharedStrings.xml><?xml version="1.0" encoding="utf-8"?>
<sst xmlns="http://schemas.openxmlformats.org/spreadsheetml/2006/main" count="864" uniqueCount="431">
  <si>
    <t xml:space="preserve">Параметры сезона 2027 — меняйте только жёлтые ячейки</t>
  </si>
  <si>
    <t xml:space="preserve">Параметр</t>
  </si>
  <si>
    <t xml:space="preserve">Значение</t>
  </si>
  <si>
    <t xml:space="preserve">Комментарий / источник</t>
  </si>
  <si>
    <t xml:space="preserve">Индексация цен 2027 к 2026 (по умолчанию для всех пакетов)</t>
  </si>
  <si>
    <t xml:space="preserve">Допущение, не факт: ориентир ≈ инфляция + рост спроса. Замените на утверждённое значение. Для отдельного пакета индекс меняется в колонке «Индекс» матрицы.</t>
  </si>
  <si>
    <t xml:space="preserve">Шаг округления цены, ₽</t>
  </si>
  <si>
    <t xml:space="preserve">Цены 2027 округляются до этого шага.</t>
  </si>
  <si>
    <t xml:space="preserve">Ранняя оплата: скидка (до 1 марта 2027)</t>
  </si>
  <si>
    <t xml:space="preserve">Предложение механики early bird. Не применяется в матрице автоматически — используется в оферте.</t>
  </si>
  <si>
    <t xml:space="preserve">Стандартная предоплата по оферте</t>
  </si>
  <si>
    <t xml:space="preserve">Доля цены пакета при акцепте оферты; остаток — до даты, указанной в оферте.</t>
  </si>
  <si>
    <t xml:space="preserve">Revenue share: доля организатора по умолчанию</t>
  </si>
  <si>
    <t xml:space="preserve">Ориентир для договора деления выручки с резидентом. Уточнить по фактическим чекам 2026.</t>
  </si>
  <si>
    <t xml:space="preserve">Бар ВИП: доля организатора по умолчанию</t>
  </si>
  <si>
    <t xml:space="preserve">Ориентир для договора на торговлю напитками в ВИП.</t>
  </si>
  <si>
    <t xml:space="preserve">Легенда</t>
  </si>
  <si>
    <t xml:space="preserve">Синий шрифт на жёлтом</t>
  </si>
  <si>
    <t xml:space="preserve">ввод: меняйте</t>
  </si>
  <si>
    <t xml:space="preserve">Зелёный шрифт</t>
  </si>
  <si>
    <t xml:space="preserve">ссылка на этот лист</t>
  </si>
  <si>
    <t xml:space="preserve">Чёрный шрифт</t>
  </si>
  <si>
    <t xml:space="preserve">формула — не трогать</t>
  </si>
  <si>
    <t xml:space="preserve">Цены 2026</t>
  </si>
  <si>
    <t xml:space="preserve">перенесены из файла-примера 2026 без изменений (данные пользователя)</t>
  </si>
  <si>
    <t xml:space="preserve">Матрица пакетов участия — Пикник Афиши 2027</t>
  </si>
  <si>
    <t xml:space="preserve">Цены 2026 — из файла 2026. Цены 2027 = цена 2026 × (1 + индекс), с округлением (лист «Параметры»). Вар.1 = железная застройка / основной вариант, вар.2 = деревянная / альтернативный (для «2 варианта» — уточнить, чем отличаются).</t>
  </si>
  <si>
    <t xml:space="preserve">Название пакета</t>
  </si>
  <si>
    <t xml:space="preserve">Площадка</t>
  </si>
  <si>
    <t xml:space="preserve">Вариант застройки / Тип</t>
  </si>
  <si>
    <t xml:space="preserve">Цена 2026, вар.1 (Ж) ₽</t>
  </si>
  <si>
    <t xml:space="preserve">Цена 2026, вар.2 (Д) ₽</t>
  </si>
  <si>
    <t xml:space="preserve">Ед.</t>
  </si>
  <si>
    <t xml:space="preserve">Индекс 2027</t>
  </si>
  <si>
    <t xml:space="preserve">Цена 2027, вар.1 ₽</t>
  </si>
  <si>
    <t xml:space="preserve">Цена 2027, вар.2 ₽</t>
  </si>
  <si>
    <t xml:space="preserve">Предоплата</t>
  </si>
  <si>
    <t xml:space="preserve">Торг. точка (кв.м)</t>
  </si>
  <si>
    <t xml:space="preserve">Техн. зона (кв.м)</t>
  </si>
  <si>
    <t xml:space="preserve">Электричество (кВт)</t>
  </si>
  <si>
    <t xml:space="preserve">Аккредитация (чел.)</t>
  </si>
  <si>
    <t xml:space="preserve">Доп. билеты (шт.)</t>
  </si>
  <si>
    <t xml:space="preserve">Включенные услуги</t>
  </si>
  <si>
    <t xml:space="preserve">Основной формат договора</t>
  </si>
  <si>
    <t xml:space="preserve">Альтернативный формат</t>
  </si>
  <si>
    <t xml:space="preserve">План продаж 2027, вар.1 (шт)</t>
  </si>
  <si>
    <t xml:space="preserve">План продаж 2027, вар.2 (шт)</t>
  </si>
  <si>
    <t xml:space="preserve">Выручка план 2027 ₽</t>
  </si>
  <si>
    <t xml:space="preserve">ПЛОЩАДКА №1 (Москва)</t>
  </si>
  <si>
    <t xml:space="preserve">Корнер №1</t>
  </si>
  <si>
    <t xml:space="preserve">Москва</t>
  </si>
  <si>
    <t xml:space="preserve">Железная / Деревянная</t>
  </si>
  <si>
    <t xml:space="preserve">пакет</t>
  </si>
  <si>
    <t xml:space="preserve">100% (3 дня)</t>
  </si>
  <si>
    <t xml:space="preserve">—</t>
  </si>
  <si>
    <t xml:space="preserve">Брендирование, печать меню, вывоз мусора, разрешение</t>
  </si>
  <si>
    <t xml:space="preserve">Оферта</t>
  </si>
  <si>
    <t xml:space="preserve">Корнер №2</t>
  </si>
  <si>
    <t xml:space="preserve">Корнер №3</t>
  </si>
  <si>
    <t xml:space="preserve">до 10</t>
  </si>
  <si>
    <t xml:space="preserve">Деление выручки</t>
  </si>
  <si>
    <t xml:space="preserve">Корнер №4</t>
  </si>
  <si>
    <t xml:space="preserve">до 15</t>
  </si>
  <si>
    <t xml:space="preserve">ВИП-корнер</t>
  </si>
  <si>
    <t xml:space="preserve">Брендирование, печать меню, вывоз мусора</t>
  </si>
  <si>
    <t xml:space="preserve">Договор бар ВИП</t>
  </si>
  <si>
    <t xml:space="preserve">ПЛОЩАДКА №2 (Санкт-Петербург)</t>
  </si>
  <si>
    <t xml:space="preserve">Санкт-Петербург</t>
  </si>
  <si>
    <t xml:space="preserve">Фудтрак</t>
  </si>
  <si>
    <t xml:space="preserve">Вывоз мусора, разрешение</t>
  </si>
  <si>
    <t xml:space="preserve">КОМБОПАКЕТЫ (Москва + Санкт-Петербург)</t>
  </si>
  <si>
    <t xml:space="preserve">Комбо (1+2)</t>
  </si>
  <si>
    <t xml:space="preserve">Ж+Ж / Д+Д</t>
  </si>
  <si>
    <t xml:space="preserve">9 (на каждой)</t>
  </si>
  <si>
    <t xml:space="preserve">4 (на каждой)</t>
  </si>
  <si>
    <t xml:space="preserve">5 (суммарно)</t>
  </si>
  <si>
    <t xml:space="preserve">до 5</t>
  </si>
  <si>
    <t xml:space="preserve">10 (суммарно)</t>
  </si>
  <si>
    <t xml:space="preserve">15 (суммарно)</t>
  </si>
  <si>
    <t xml:space="preserve">Двойной корнер лаер</t>
  </si>
  <si>
    <t xml:space="preserve">Ж+Ж (2 варианта)</t>
  </si>
  <si>
    <t xml:space="preserve">Комбо лаер + дерево, 5 кВт</t>
  </si>
  <si>
    <t xml:space="preserve">Ж+Д</t>
  </si>
  <si>
    <t xml:space="preserve">Комбо лаер + дерево, 10 кВт</t>
  </si>
  <si>
    <t xml:space="preserve">Комбо лаер + дерево, 15 кВт</t>
  </si>
  <si>
    <t xml:space="preserve">Двойной дерево</t>
  </si>
  <si>
    <t xml:space="preserve">Д+Д (2 варианта)</t>
  </si>
  <si>
    <t xml:space="preserve">СПЕЦИАЛЬНЫЕ И ДОПОЛНИТЕЛЬНЫЕ ФОРМАТЫ</t>
  </si>
  <si>
    <t xml:space="preserve">Застройка своего корнера</t>
  </si>
  <si>
    <t xml:space="preserve">Любая</t>
  </si>
  <si>
    <t xml:space="preserve">Свой макет</t>
  </si>
  <si>
    <t xml:space="preserve">за кв.м</t>
  </si>
  <si>
    <t xml:space="preserve">По макету</t>
  </si>
  <si>
    <t xml:space="preserve">Размещение на сайте, вывоз мусора, общая зона</t>
  </si>
  <si>
    <t xml:space="preserve">Dark Kitchen</t>
  </si>
  <si>
    <t xml:space="preserve">Стойка 2x2, шатер 5x5</t>
  </si>
  <si>
    <t xml:space="preserve">Промо-поддержка, вывоз мусора</t>
  </si>
  <si>
    <t xml:space="preserve">Grab &amp; Go (Вендинг)</t>
  </si>
  <si>
    <t xml:space="preserve">2 (автомат)</t>
  </si>
  <si>
    <t xml:space="preserve">Вывоз мусора</t>
  </si>
  <si>
    <t xml:space="preserve">Лавка. Фермерский рынок</t>
  </si>
  <si>
    <t xml:space="preserve">до 2</t>
  </si>
  <si>
    <t xml:space="preserve">Гастропартнер ВИП-фудкорта</t>
  </si>
  <si>
    <t xml:space="preserve">≥5 точек</t>
  </si>
  <si>
    <t xml:space="preserve">до 30</t>
  </si>
  <si>
    <t xml:space="preserve">Технологический партнер</t>
  </si>
  <si>
    <t xml:space="preserve">Эксклюзив, брендирование, статус</t>
  </si>
  <si>
    <t xml:space="preserve">Гастроспонсорство</t>
  </si>
  <si>
    <t xml:space="preserve">Интеграция локальных фестивалей</t>
  </si>
  <si>
    <t xml:space="preserve">5 корнеров 3x3</t>
  </si>
  <si>
    <t xml:space="preserve">Проведение активностей, вывоз мусора</t>
  </si>
  <si>
    <t xml:space="preserve">Коллаборация Бренд №1 х №2</t>
  </si>
  <si>
    <t xml:space="preserve">Лаунж-зона для бронирования</t>
  </si>
  <si>
    <t xml:space="preserve">Тележка для мороженого</t>
  </si>
  <si>
    <t xml:space="preserve">ПАКЕТ ДОПОЛНИТЕЛЬНЫХ ОПЦИЙ (допсоглашение / доп. позиция в оферте)</t>
  </si>
  <si>
    <t xml:space="preserve">Право выбора места</t>
  </si>
  <si>
    <t xml:space="preserve">Услуга</t>
  </si>
  <si>
    <t xml:space="preserve">шт</t>
  </si>
  <si>
    <t xml:space="preserve">Продвижение в соцсетях</t>
  </si>
  <si>
    <t xml:space="preserve">Ночное хранение продуктов</t>
  </si>
  <si>
    <t xml:space="preserve">Фото/Видео контент</t>
  </si>
  <si>
    <t xml:space="preserve">Участие в Гастрогостиной</t>
  </si>
  <si>
    <t xml:space="preserve">Доп. персонал</t>
  </si>
  <si>
    <t xml:space="preserve">чел-час</t>
  </si>
  <si>
    <t xml:space="preserve">ИТОГО план выручки 2027</t>
  </si>
  <si>
    <t xml:space="preserve">Примечания</t>
  </si>
  <si>
    <t xml:space="preserve">1. Цены 2027 — расчётные (индексация), не утверждённые. Перед публикацией оферты проверьте их вручную.</t>
  </si>
  <si>
    <t xml:space="preserve">2. Для «Застройки своего корнера» и «Доп. персонала» цена — за единицу (кв.м / чел-час), округление до 100 ₽.</t>
  </si>
  <si>
    <t xml:space="preserve">3. «Альтернативный формат» — модель, которую можно предложить резиденту вместо фикса (напр. % от выручки + минимальная гарантия). Условия — лист «Форматы договоров».</t>
  </si>
  <si>
    <t xml:space="preserve">4. Пустые ячейки в строках «лаер / дерево» — в файле 2026 параметры не были заполнены, их нужно дописать.</t>
  </si>
  <si>
    <t xml:space="preserve">5. Ячейки договора выбираются из списка: Оферта / Договор бар ВИП / Деление выручки / Гастроспонсорство.</t>
  </si>
  <si>
    <t xml:space="preserve">Форматы договоров с резидентами и партнёрами — 2027</t>
  </si>
  <si>
    <t xml:space="preserve">Рабочая структура для юриста, не готовый текст договора. Ссылки на законы — для проверки юристом, финальные формулировки согласовать с юр. отделом Афиши.</t>
  </si>
  <si>
    <t xml:space="preserve">1. Публичная оферта на участие</t>
  </si>
  <si>
    <t xml:space="preserve">2. Договор на торговлю напитками (бар ВИП)</t>
  </si>
  <si>
    <t xml:space="preserve">3. Договор на деление выручки с резидентом</t>
  </si>
  <si>
    <t xml:space="preserve">4. Договор гастроспонсорства</t>
  </si>
  <si>
    <t xml:space="preserve">Когда применять</t>
  </si>
  <si>
    <t xml:space="preserve">Стандартные пакеты с фиксированной ценой: корнеры, фудтраки, Dark Kitchen, вендинг, лавки, тележки, доп. опции. Массовый поток резидентов.</t>
  </si>
  <si>
    <t xml:space="preserve">Эксклюзивный оператор бара / напитков в ВИП-зоне, лаунж-зоне, ВИП-фудкорте.</t>
  </si>
  <si>
    <t xml:space="preserve">Сильные резиденты с высоким чеком, где фикс отпугивает, а потенциал выручки выше цены пакета; новые форматы без истории продаж.</t>
  </si>
  <si>
    <t xml:space="preserve">Бренды и партнёры без торговли или с торговлей как частью интеграции: тех. партнёр, коллаборации брендов, интеграция локальных фестивалей, спецпроекты.</t>
  </si>
  <si>
    <t xml:space="preserve">Пакеты из матрицы</t>
  </si>
  <si>
    <t xml:space="preserve">Все строки с форматом «Оферта»</t>
  </si>
  <si>
    <t xml:space="preserve">ВИП-корнер, Лаунж-зона, Гастропартнер ВИП-фудкорта (альтернатива)</t>
  </si>
  <si>
    <t xml:space="preserve">Корнер №3–4, двойные корнеры, Фудтрак, Dark Kitchen, Гастропартнер ВИП-фудкорта</t>
  </si>
  <si>
    <t xml:space="preserve">Технологический партнер, Коллаборация брендов, Интеграция локальных фестивалей</t>
  </si>
  <si>
    <t xml:space="preserve">Правовая форма</t>
  </si>
  <si>
    <t xml:space="preserve">Публичная оферта (ст. 435, 437 ГК РФ); акцепт — оплата счёта / заполнение заявки (ст. 438 п. 3 ГК РФ). Договор возмездного оказания услуг (гл. 39 ГК РФ).</t>
  </si>
  <si>
    <t xml:space="preserve">Двусторонний договор: предоставление права торговли / услуги организатора + исключительность категории. Иногда — субаренда места (если организатор арендует площадку).</t>
  </si>
  <si>
    <t xml:space="preserve">Договор оказания услуг с переменным вознаграждением (% от выручки) + минимальная гарантия. Альтернатива — агентский договор, если оплаты идут через кассу/эквайринг организатора. Договор простого товарищества (гл. 55 ГК) не рекомендуется: сложный учёт и налоги.</t>
  </si>
  <si>
    <t xml:space="preserve">Договор спонсорства = договор на оказание рекламных услуг (ФЗ «О рекламе» № 38-ФЗ, ст. 3 п. 9–10). Возможен смешанный: деньги + бартер (товар/услуги).</t>
  </si>
  <si>
    <t xml:space="preserve">Стороны</t>
  </si>
  <si>
    <t xml:space="preserve">Организатор ↔ резидент (ИП / ООО / самозанятый — проверить, разрешена ли торговля для его режима).</t>
  </si>
  <si>
    <t xml:space="preserve">Организатор ↔ оператор бара (юрлицо/ИП с правом продажи алкоголя).</t>
  </si>
  <si>
    <t xml:space="preserve">Организатор ↔ резидент.</t>
  </si>
  <si>
    <t xml:space="preserve">Организатор ↔ спонсор (бренд) или его рекламное агентство.</t>
  </si>
  <si>
    <t xml:space="preserve">Предмет</t>
  </si>
  <si>
    <t xml:space="preserve">Предоставление места и пакета услуг на фестивале (застройка, электричество, аккредитация, вывоз мусора и т.д. — по матрице).</t>
  </si>
  <si>
    <t xml:space="preserve">Право на эксклюзивную продажу напитков в ВИП-зоне, место, застройка бара, подключения; оператор — продажа, персонал, лицензии.</t>
  </si>
  <si>
    <t xml:space="preserve">Предоставление места и услуг; вознаграждение организатора — % от выручки точки.</t>
  </si>
  <si>
    <t xml:space="preserve">Рекламные и интеграционные услуги: упоминание статуса, брендирование, зона/активация, контент, эксклюзивность категории.</t>
  </si>
  <si>
    <t xml:space="preserve">Цена / вознаграждение</t>
  </si>
  <si>
    <t xml:space="preserve">Фикс по матрице 2027.</t>
  </si>
  <si>
    <t xml:space="preserve">Фикс за право + % от выручки, либо MAX(минимальная гарантия; % от выручки). Ориентир — лист «Калькулятор».</t>
  </si>
  <si>
    <t xml:space="preserve">MAX(минимальная гарантия; % × выручка). База — ВЫРУЧКА, не прибыль: прибыль резидента организатор проверить не может.</t>
  </si>
  <si>
    <t xml:space="preserve">Фикс спонсорского взноса (деньги) + оценка бартера. Пакетные уровни: генеральный / официальный / партнёр.</t>
  </si>
  <si>
    <t xml:space="preserve">Порядок оплаты</t>
  </si>
  <si>
    <t xml:space="preserve">Предоплата (Параметры: 50%) при акцепте; остаток — до дедлайна (напр. за 30 дней до фестиваля). Без 100% оплаты — нет допуска к монтажу.</t>
  </si>
  <si>
    <t xml:space="preserve">Минимальная гарантия — авансом до монтажа; % — по итогам, в течение 5–10 раб. дней после отчёта.</t>
  </si>
  <si>
    <t xml:space="preserve">Минимальная гарантия — авансом; доплата % — после сверки выручки.</t>
  </si>
  <si>
    <t xml:space="preserve">По графику: 50% при подписании, 50% до старта фестиваля; бартер — по акту приёма-передачи.</t>
  </si>
  <si>
    <t xml:space="preserve">Учёт выручки / контроль</t>
  </si>
  <si>
    <t xml:space="preserve">Не нужен.</t>
  </si>
  <si>
    <t xml:space="preserve">Обязательно: выгрузка из кассы (ОФД) / эквайринга за каждый день. Право организатора на аудит. Лучше — единый эквайринг/кассовая система фестиваля.</t>
  </si>
  <si>
    <t xml:space="preserve">Обязательно: ежедневный Z-отчёт, выгрузка ОФД, доступ к данным эквайринга. Санкция за сокрытие выручки (штраф, расчёт по средней).</t>
  </si>
  <si>
    <t xml:space="preserve">Отчёт организатора: охваты, контент, фото-отчёт, количество контактов — по KPI договора.</t>
  </si>
  <si>
    <t xml:space="preserve">Лицензии и разрешения</t>
  </si>
  <si>
    <t xml:space="preserve">Резидент: ККТ (54-ФЗ), документы на продукцию, санитарные требования, мед. книжки персонала.</t>
  </si>
  <si>
    <t xml:space="preserve">Розничная продажа алкоголя (кроме пива, сидра, медовухи) — по лицензии (171-ФЗ); ЕГАИС; региональные ограничения продажи алкоголя на массовых мероприятиях — проверить для Москвы и СПб под конкретную площадку и даты.</t>
  </si>
  <si>
    <t xml:space="preserve">Как в оферте + ККТ резидента обязательна (иначе выручку не проверить).</t>
  </si>
  <si>
    <t xml:space="preserve">Если спонсор торгует — как в оферте. Маркировка рекламы (ERID) для онлайн-размещений по 38-ФЗ.</t>
  </si>
  <si>
    <t xml:space="preserve">Обязанности организатора</t>
  </si>
  <si>
    <t xml:space="preserve">Место, застройка, подключения, аккредитация, разрешения, вывоз мусора — по пакету.</t>
  </si>
  <si>
    <t xml:space="preserve">Эксклюзив категории напитков в ВИП-зоне (запрет конкурентов), застройка бара, логистика, ВИП-трафик.</t>
  </si>
  <si>
    <t xml:space="preserve">Место, услуги, трафик, промо резидента.</t>
  </si>
  <si>
    <t xml:space="preserve">Выполнение рекламного пакета, эксклюзив категории, отчёт.</t>
  </si>
  <si>
    <t xml:space="preserve">Обязанности контрагента</t>
  </si>
  <si>
    <t xml:space="preserve">Своевременная оплата, соблюдение правил площадки, тайминга монтажа/демонтажа, санитарии, меню по согласованию.</t>
  </si>
  <si>
    <t xml:space="preserve">Ассортимент и цены по согласованию, стандарты сервиса, персонал, лицензии, соблюдение запрета продажи несовершеннолетним.</t>
  </si>
  <si>
    <t xml:space="preserve">Работа все дни фестиваля, согласованное меню и цены, отчётность, использование ККТ.</t>
  </si>
  <si>
    <t xml:space="preserve">Оплата, предоставление материалов (логотипы, макеты) в сроки, согласование активаций.</t>
  </si>
  <si>
    <t xml:space="preserve">Ответственность / штрафы</t>
  </si>
  <si>
    <t xml:space="preserve">Штраф за нарушения правил (санитария, дресс-код, выход за границы точки, нарушение тайминга). Предоплата не возвращается при отказе позднее дедлайна.</t>
  </si>
  <si>
    <t xml:space="preserve">Штраф за перебои в работе бара, за нарушение эксклюзива организатором (зеркально), за продажу без лицензии — расторжение.</t>
  </si>
  <si>
    <t xml:space="preserve">Штраф за сокрытие выручки; закрытие точки раньше времени; невыход на фестиваль — удержание минимальной гарантии.</t>
  </si>
  <si>
    <t xml:space="preserve">Пропорциональное снижение взноса при невыполнении пакета организатором; штраф за просрочку оплаты.</t>
  </si>
  <si>
    <t xml:space="preserve">Отмена / форс-мажор</t>
  </si>
  <si>
    <t xml:space="preserve">Шкала возврата: напр. &gt;60 дней — 100% минус 10%, 30–60 — 50%, &lt;30 — 0%. Отмена по вине организатора — 100%. Погода — не форс-мажор (фестиваль на открытом воздухе).</t>
  </si>
  <si>
    <t xml:space="preserve">Отдельно прописать: отмена/сокращение дней, погода, запрет продажи алкоголя властями.</t>
  </si>
  <si>
    <t xml:space="preserve">Как в оферте; минимальная гарантия пересчитывается пропорционально дням работы.</t>
  </si>
  <si>
    <t xml:space="preserve">Перенос на другой фестиваль/даты или возврат пропорционально невыполненному объёму.</t>
  </si>
  <si>
    <t xml:space="preserve">НДС и закрывающие документы</t>
  </si>
  <si>
    <t xml:space="preserve">Счёт, акт оказанных услуг, УПД. Учесть НДС организатора в цене (указать: «цена включает / не включает НДС»).</t>
  </si>
  <si>
    <t xml:space="preserve">Акт за фикс + акт за % по отчёту.</t>
  </si>
  <si>
    <t xml:space="preserve">Акт с расчётом % по отчёту о выручке.</t>
  </si>
  <si>
    <t xml:space="preserve">Акт + фото-отчёт / отчёт по KPI. Бартер — УПД с двух сторон, НДС по обеим.</t>
  </si>
  <si>
    <t xml:space="preserve">Ключевые риски</t>
  </si>
  <si>
    <t xml:space="preserve">Отказ резидента после брони места; споры об объёме услуг — снимается детальным приложением «Состав пакета».</t>
  </si>
  <si>
    <t xml:space="preserve">Лицензии и ограничения на алкоголь; непрозрачная выручка; конфликт эксклюзива с другими резидентами.</t>
  </si>
  <si>
    <t xml:space="preserve">Занижение выручки; организатор берёт риск слабых продаж; нагрузка на команду по сверкам.</t>
  </si>
  <si>
    <t xml:space="preserve">Невыполнимые KPI охватов; расплывчатый бартер; маркировка рекламы.</t>
  </si>
  <si>
    <t xml:space="preserve">KPI для контроля</t>
  </si>
  <si>
    <t xml:space="preserve">Доля оплат до дедлайна; % заполнения площадки.</t>
  </si>
  <si>
    <t xml:space="preserve">Выручка бара / день; средний чек; доля % в доходе.</t>
  </si>
  <si>
    <t xml:space="preserve">Выручка / кв.м; фактический доход vs фикс-пакет.</t>
  </si>
  <si>
    <t xml:space="preserve">Выполнение пакета 100%; охваты; продление на следующий сезон.</t>
  </si>
  <si>
    <t xml:space="preserve">Приложения к договору</t>
  </si>
  <si>
    <t xml:space="preserve">Состав пакета (из матрицы), план площадки, правила для резидентов, тайминг монтажа/демонтажа, шкала штрафов.</t>
  </si>
  <si>
    <t xml:space="preserve">Ассортимент и цены, план бара, стандарты сервиса, форма ежедневного отчёта.</t>
  </si>
  <si>
    <t xml:space="preserve">Форма отчёта о выручке, порядок сверки, состав пакета.</t>
  </si>
  <si>
    <t xml:space="preserve">Спонсорский пакет, медиаплан, макеты, форма отчёта, акт бартера.</t>
  </si>
  <si>
    <t xml:space="preserve">Калькулятор: фикс vs деление выручки</t>
  </si>
  <si>
    <t xml:space="preserve">Значения в жёлтых ячейках — пример для проверки формата, замените своими цифрами (выручку берите из факта 2026).</t>
  </si>
  <si>
    <t xml:space="preserve">Бар ВИП (пример)</t>
  </si>
  <si>
    <t xml:space="preserve">Прогноз выручки точки за фестиваль, ₽</t>
  </si>
  <si>
    <t xml:space="preserve">Доля организатора, %</t>
  </si>
  <si>
    <t xml:space="preserve">Минимальная гарантия, ₽</t>
  </si>
  <si>
    <t xml:space="preserve">Цена фикс-пакета для сравнения, ₽</t>
  </si>
  <si>
    <t xml:space="preserve">Доход организатора по % (без гарантии), ₽</t>
  </si>
  <si>
    <t xml:space="preserve">Доход организатора с гарантией = MAX(гарантия; %), ₽</t>
  </si>
  <si>
    <t xml:space="preserve">Разница с фикс-пакетом, ₽</t>
  </si>
  <si>
    <t xml:space="preserve">Выручка точки, при которой % = фикс, ₽</t>
  </si>
  <si>
    <t xml:space="preserve">Вывод</t>
  </si>
  <si>
    <t xml:space="preserve">Деление выручки с резидентом (пример: Корнер №4, Москва)</t>
  </si>
  <si>
    <t xml:space="preserve">Резиденты 2027: уровни A / B / C — кто нам нужен и зачем</t>
  </si>
  <si>
    <t xml:space="preserve">Определения, скоринг и таймлайн. Меняйте жёлтые ячейки (веса и пороги). Целевые количества — лист «Резиденты — план», сам список — «Резиденты — лонг-лист».</t>
  </si>
  <si>
    <t xml:space="preserve">A — якоря / хедлайнеры</t>
  </si>
  <si>
    <t xml:space="preserve">B — основа фестиваля</t>
  </si>
  <si>
    <t xml:space="preserve">C — разнообразие и ниша</t>
  </si>
  <si>
    <t xml:space="preserve">Справочник: пакеты</t>
  </si>
  <si>
    <t xml:space="preserve">Справочник: категории</t>
  </si>
  <si>
    <t xml:space="preserve">Справочник: статусы</t>
  </si>
  <si>
    <t xml:space="preserve">Роль на фестивале</t>
  </si>
  <si>
    <t xml:space="preserve">Приводят аудиторию и прессу. Лицо фестиваля в анонсах, на афише и в PR. Повышают статус площадки для остальных резидентов и спонсоров.</t>
  </si>
  <si>
    <t xml:space="preserve">Делают основную выручку и стабильный поток гостей. Закрывают ключевые категории еды все дни фестиваля.</t>
  </si>
  <si>
    <t xml:space="preserve">Дают разнообразие, новизну, «открытия». Закрывают нишевые категории (десерты, кофе, фермерские продукты, напитки) и заполняют площадку.</t>
  </si>
  <si>
    <t xml:space="preserve">Бургеры / стритфуд</t>
  </si>
  <si>
    <t xml:space="preserve">Лонг-лист</t>
  </si>
  <si>
    <t xml:space="preserve">Критерии отбора</t>
  </si>
  <si>
    <t xml:space="preserve">Балл скоринга ≥ порога A. Известный бренд / шеф федерального или городского уровня; сильная медийность; высокий чек; надёжная операционка на потоке; готовность к коллаборациям и спецменю.</t>
  </si>
  <si>
    <t xml:space="preserve">Балл между порогами B и A. Известны в своём городе; подтверждённая выручка на фестивалях / в 2026; понятная массовая кухня; соблюдают тайминг и стандарты.</t>
  </si>
  <si>
    <t xml:space="preserve">Балл ниже порога B. Молодые проекты, фермеры, локальные производители, узкие форматы. Обязательно: уникальность для площадки и соответствие санитарным требованиям.</t>
  </si>
  <si>
    <t xml:space="preserve">Азиатская</t>
  </si>
  <si>
    <t xml:space="preserve">Переговоры</t>
  </si>
  <si>
    <t xml:space="preserve">Типичные пакеты</t>
  </si>
  <si>
    <t xml:space="preserve">Корнер №3–4, двойные корнеры, ВИП-корнер, Гастропартнер ВИП-фудкорта, коллаборации брендов, оператор бара ВИП</t>
  </si>
  <si>
    <t xml:space="preserve">Корнер №2–3, комбопакеты, фудтрак, Dark Kitchen</t>
  </si>
  <si>
    <t xml:space="preserve">Корнер №1, Лавка. Фермерский рынок, тележка для мороженого, Grab &amp; Go</t>
  </si>
  <si>
    <t xml:space="preserve">Кавказская</t>
  </si>
  <si>
    <t xml:space="preserve">КП отправлено</t>
  </si>
  <si>
    <t xml:space="preserve">Формат договора</t>
  </si>
  <si>
    <t xml:space="preserve">Индивидуальный договор: деление выручки с минимальной гарантией, договор бар ВИП, коллаборация/спонсорство</t>
  </si>
  <si>
    <t xml:space="preserve">Оферта (основной), деление выручки — как исключение для сильных B</t>
  </si>
  <si>
    <t xml:space="preserve">Оферта, 100% предоплата</t>
  </si>
  <si>
    <t xml:space="preserve">Итальянская / Европа</t>
  </si>
  <si>
    <t xml:space="preserve">Подписан</t>
  </si>
  <si>
    <t xml:space="preserve">Что предлагаем</t>
  </si>
  <si>
    <t xml:space="preserve">Лучшие места (право выбора без доплаты), анонс в первой волне, спецпроекты (Гастрогостиная, коллаборации), гибкая модель оплаты, ВИП-аккредитации</t>
  </si>
  <si>
    <t xml:space="preserve">Скидка за раннюю оплату, комбопакет Москва + СПб, место в основном потоке, включение в общие анонсы</t>
  </si>
  <si>
    <t xml:space="preserve">Отбор через опенколл, базовый пакет, промо в блоке «Новые имена», допопции за доплату</t>
  </si>
  <si>
    <t xml:space="preserve">Мясо / гриль / BBQ</t>
  </si>
  <si>
    <t xml:space="preserve">Оплачен</t>
  </si>
  <si>
    <t xml:space="preserve">Целевая доля точек</t>
  </si>
  <si>
    <t xml:space="preserve">≈ 15–20%</t>
  </si>
  <si>
    <t xml:space="preserve">≈ 45–50%</t>
  </si>
  <si>
    <t xml:space="preserve">≈ 30–35%</t>
  </si>
  <si>
    <t xml:space="preserve">Морепродукты</t>
  </si>
  <si>
    <t xml:space="preserve">Отказ</t>
  </si>
  <si>
    <t xml:space="preserve">Когда закрываем</t>
  </si>
  <si>
    <t xml:space="preserve">Переговоры ноябрь 2026 – январь 2027, подписание до 15 февраля</t>
  </si>
  <si>
    <t xml:space="preserve">Открытие продаж — февраль, основная волна март–апрель</t>
  </si>
  <si>
    <t xml:space="preserve">Опенколл март–май, добор до заполнения площадки</t>
  </si>
  <si>
    <t xml:space="preserve">Здоровая / веган</t>
  </si>
  <si>
    <t xml:space="preserve">Ответственный (вписать)</t>
  </si>
  <si>
    <t xml:space="preserve">Десерты / выпечка</t>
  </si>
  <si>
    <t xml:space="preserve">Главные риски</t>
  </si>
  <si>
    <t xml:space="preserve">Высокие требования к условиям; позднее подтверждение; зависимость анонсов от 2–3 имён</t>
  </si>
  <si>
    <t xml:space="preserve">Однотипность меню (дубли категорий); сдвиг оплат к дедлайну</t>
  </si>
  <si>
    <t xml:space="preserve">Слабая операционка на потоке; низкая выручка → отказ на следующий сезон</t>
  </si>
  <si>
    <t xml:space="preserve">Кофе</t>
  </si>
  <si>
    <t xml:space="preserve">KPI уровня</t>
  </si>
  <si>
    <t xml:space="preserve">Подписано до 15.02; упоминания в СМИ; выручка/кв.м; продление на 2028</t>
  </si>
  <si>
    <t xml:space="preserve">Оплата до дедлайна; выручка на точку; доля повторных резидентов</t>
  </si>
  <si>
    <t xml:space="preserve">Заполнение категорий; доля новых имён; оценка гостей / отсутствие нарушений</t>
  </si>
  <si>
    <t xml:space="preserve">Безалкогольные напитки</t>
  </si>
  <si>
    <t xml:space="preserve">Бар / алкоголь</t>
  </si>
  <si>
    <t xml:space="preserve">Фермерские продукты</t>
  </si>
  <si>
    <t xml:space="preserve">Скоринг резидента (оценка 1–5 по каждому критерию)</t>
  </si>
  <si>
    <t xml:space="preserve">Мороженое</t>
  </si>
  <si>
    <t xml:space="preserve">Критерий</t>
  </si>
  <si>
    <t xml:space="preserve">Вес</t>
  </si>
  <si>
    <t xml:space="preserve">1 балл</t>
  </si>
  <si>
    <t xml:space="preserve">3 балла</t>
  </si>
  <si>
    <t xml:space="preserve">5 баллов</t>
  </si>
  <si>
    <t xml:space="preserve">Другое</t>
  </si>
  <si>
    <t xml:space="preserve">Узнаваемость бренда</t>
  </si>
  <si>
    <t xml:space="preserve">Новый / неизвестный проект</t>
  </si>
  <si>
    <t xml:space="preserve">Известен в своём городе</t>
  </si>
  <si>
    <t xml:space="preserve">Федеральный бренд / известный шеф</t>
  </si>
  <si>
    <t xml:space="preserve">Средний чек</t>
  </si>
  <si>
    <t xml:space="preserve">Ниже среднего по фестивалю</t>
  </si>
  <si>
    <t xml:space="preserve">На уровне среднего</t>
  </si>
  <si>
    <t xml:space="preserve">Значительно выше среднего</t>
  </si>
  <si>
    <t xml:space="preserve">Выручка на фестивалях (2026 или аналоги)</t>
  </si>
  <si>
    <t xml:space="preserve">Нет данных / слабая</t>
  </si>
  <si>
    <t xml:space="preserve">Средняя по площадке</t>
  </si>
  <si>
    <t xml:space="preserve">Топ-10 по площадке</t>
  </si>
  <si>
    <t xml:space="preserve">Медийность (соцсети, пресса)</t>
  </si>
  <si>
    <t xml:space="preserve">Почти нет аудитории</t>
  </si>
  <si>
    <t xml:space="preserve">Активные соцсети, локальная пресса</t>
  </si>
  <si>
    <t xml:space="preserve">Большая аудитория, сам приносит охват</t>
  </si>
  <si>
    <t xml:space="preserve">Операционная надёжность</t>
  </si>
  <si>
    <t xml:space="preserve">Опыта потока нет / были нарушения</t>
  </si>
  <si>
    <t xml:space="preserve">Опыт фестивалей без серьёзных нарушений</t>
  </si>
  <si>
    <t xml:space="preserve">Отлаженная работа на потоке, соблюдение стандартов</t>
  </si>
  <si>
    <t xml:space="preserve">Уникальность для площадки</t>
  </si>
  <si>
    <t xml:space="preserve">Дублирует имеющихся</t>
  </si>
  <si>
    <t xml:space="preserve">Частично новая категория</t>
  </si>
  <si>
    <t xml:space="preserve">Закрывает пустую категорию / эксклюзив</t>
  </si>
  <si>
    <t xml:space="preserve">Сумма весов (должна быть 100%)</t>
  </si>
  <si>
    <t xml:space="preserve">Порог уровня A (балл ≥)</t>
  </si>
  <si>
    <t xml:space="preserve">Порог уровня B (балл ≥), ниже — C</t>
  </si>
  <si>
    <t xml:space="preserve">Итоговый уровень можно переопределить вручную в лонг-листе (стратегическое решение важнее балла — но фиксируйте причину в комментарии).</t>
  </si>
  <si>
    <t xml:space="preserve">Таймлайн набора резидентов 2027</t>
  </si>
  <si>
    <t xml:space="preserve">Период</t>
  </si>
  <si>
    <t xml:space="preserve">A</t>
  </si>
  <si>
    <t xml:space="preserve">B</t>
  </si>
  <si>
    <t xml:space="preserve">C</t>
  </si>
  <si>
    <t xml:space="preserve">Октябрь–ноябрь 2026</t>
  </si>
  <si>
    <t xml:space="preserve">Аналитика 2026 (выручка, нарушения, отзывы); лонг-лист A; первые встречи</t>
  </si>
  <si>
    <t xml:space="preserve">Скоринг резидентов 2026, письма о продлении</t>
  </si>
  <si>
    <t xml:space="preserve">Сбор базы новых проектов (соцсети, маркеты, рекомендации)</t>
  </si>
  <si>
    <t xml:space="preserve">Декабрь 2026 – январь 2027</t>
  </si>
  <si>
    <t xml:space="preserve">Переговоры, индивидуальные условия, коллаборации</t>
  </si>
  <si>
    <t xml:space="preserve">Предзапись на раннюю оплату</t>
  </si>
  <si>
    <t xml:space="preserve">Подготовка опенколла (форма, критерии)</t>
  </si>
  <si>
    <t xml:space="preserve">Февраль 2027</t>
  </si>
  <si>
    <t xml:space="preserve">Подписание до 15.02, анонс первой волны</t>
  </si>
  <si>
    <t xml:space="preserve">Публикация оферты, старт продаж, early bird до 01.03</t>
  </si>
  <si>
    <t xml:space="preserve">Март–апрель 2027</t>
  </si>
  <si>
    <t xml:space="preserve">Спецпроекты, меню, контент</t>
  </si>
  <si>
    <t xml:space="preserve">Основная волна оплат; контроль дублей категорий</t>
  </si>
  <si>
    <t xml:space="preserve">Опенколл, отбор, оферта</t>
  </si>
  <si>
    <t xml:space="preserve">Май 2027</t>
  </si>
  <si>
    <t xml:space="preserve">Финальное меню, тех. райдеры</t>
  </si>
  <si>
    <t xml:space="preserve">Дедлайн 100% оплаты</t>
  </si>
  <si>
    <t xml:space="preserve">Добор в пустые категории; лист ожидания</t>
  </si>
  <si>
    <t xml:space="preserve">Июнь 2027 – фестиваль</t>
  </si>
  <si>
    <t xml:space="preserve">Медиа-поддержка, ВИП</t>
  </si>
  <si>
    <t xml:space="preserve">Онбординг, тайминг монтажа</t>
  </si>
  <si>
    <t xml:space="preserve">Онбординг, контроль санитарии</t>
  </si>
  <si>
    <t xml:space="preserve">Даты фестиваля 2027 в файле не указаны — сдвиньте таймлайн под утверждённые даты.</t>
  </si>
  <si>
    <t xml:space="preserve">План резидентов 2027 по уровням: цель vs факт</t>
  </si>
  <si>
    <t xml:space="preserve">Цели (жёлтые) — моё предложение для старта, не утверждённые цифры. «Факт» = резиденты со статусом «Подписан» или «Оплачен» в лонг-листе; комбопакеты учитываются в обоих городах.</t>
  </si>
  <si>
    <t xml:space="preserve">1. Целевой состав по форматам</t>
  </si>
  <si>
    <t xml:space="preserve">Формат</t>
  </si>
  <si>
    <t xml:space="preserve">Мск A</t>
  </si>
  <si>
    <t xml:space="preserve">Мск B</t>
  </si>
  <si>
    <t xml:space="preserve">Мск C</t>
  </si>
  <si>
    <t xml:space="preserve">Мск итого</t>
  </si>
  <si>
    <t xml:space="preserve">Мск: мест по плану площадки</t>
  </si>
  <si>
    <t xml:space="preserve">Мск остаток</t>
  </si>
  <si>
    <t xml:space="preserve">СПб A</t>
  </si>
  <si>
    <t xml:space="preserve">СПб B</t>
  </si>
  <si>
    <t xml:space="preserve">СПб C</t>
  </si>
  <si>
    <t xml:space="preserve">СПб итого</t>
  </si>
  <si>
    <t xml:space="preserve">СПб: мест по плану площадки</t>
  </si>
  <si>
    <t xml:space="preserve">СПб остаток</t>
  </si>
  <si>
    <t xml:space="preserve">Корнеры (№1–4, двойные, комбо)</t>
  </si>
  <si>
    <t xml:space="preserve">ВИП-корнер / Гастропартнер ВИП-фудкорта</t>
  </si>
  <si>
    <t xml:space="preserve">Оператор бара ВИП / напитки</t>
  </si>
  <si>
    <t xml:space="preserve">Коллаборации брендов</t>
  </si>
  <si>
    <t xml:space="preserve">ИТОГО</t>
  </si>
  <si>
    <t xml:space="preserve">Доля уровня в составе</t>
  </si>
  <si>
    <t xml:space="preserve">Отрицательный остаток = целей больше, чем мест на плане площадки. Заполните колонки «мест по плану площадки».</t>
  </si>
  <si>
    <t xml:space="preserve">2. План / факт по уровням</t>
  </si>
  <si>
    <t xml:space="preserve">Уровень</t>
  </si>
  <si>
    <t xml:space="preserve">Мск план</t>
  </si>
  <si>
    <t xml:space="preserve">Мск факт</t>
  </si>
  <si>
    <t xml:space="preserve">Мск %</t>
  </si>
  <si>
    <t xml:space="preserve">СПб план</t>
  </si>
  <si>
    <t xml:space="preserve">СПб факт</t>
  </si>
  <si>
    <t xml:space="preserve">СПб %</t>
  </si>
  <si>
    <t xml:space="preserve">В работе (переговоры + КП)</t>
  </si>
  <si>
    <t xml:space="preserve">Выручка подписанных ₽</t>
  </si>
  <si>
    <t xml:space="preserve">Отказы</t>
  </si>
  <si>
    <t xml:space="preserve">Выручка — по ценам пакетов из матрицы 2027 (без допопций и % от выручки).</t>
  </si>
  <si>
    <t xml:space="preserve">3. Карта категорий кухни — чтобы не было дублей и пустот</t>
  </si>
  <si>
    <t xml:space="preserve">Категория</t>
  </si>
  <si>
    <t xml:space="preserve">Мск цель</t>
  </si>
  <si>
    <t xml:space="preserve">Мск разрыв</t>
  </si>
  <si>
    <t xml:space="preserve">СПб цель</t>
  </si>
  <si>
    <t xml:space="preserve">СПб разрыв</t>
  </si>
  <si>
    <t xml:space="preserve">Разрыв &lt; 0 (красный) — категория не закрыта, добирать. Разрыв &gt; 0 (оранжевый) — перебор, риск каннибализации выручки.</t>
  </si>
  <si>
    <t xml:space="preserve">Лонг-лист резидентов 2027</t>
  </si>
  <si>
    <t xml:space="preserve">Одна строка — один резидент. Заполняйте жёлтые колонки; балл, уровень и цена пакета считаются сами. Строка 5 — пример, удалите или замените.</t>
  </si>
  <si>
    <t xml:space="preserve">№</t>
  </si>
  <si>
    <t xml:space="preserve">Резидент</t>
  </si>
  <si>
    <t xml:space="preserve">Город</t>
  </si>
  <si>
    <t xml:space="preserve">Категория кухни</t>
  </si>
  <si>
    <t xml:space="preserve">Пакет</t>
  </si>
  <si>
    <t xml:space="preserve">Вариант (1=Ж, 2=Д)</t>
  </si>
  <si>
    <t xml:space="preserve">Узнаваемость</t>
  </si>
  <si>
    <t xml:space="preserve">Выручка</t>
  </si>
  <si>
    <t xml:space="preserve">Медийность</t>
  </si>
  <si>
    <t xml:space="preserve">Надёжность</t>
  </si>
  <si>
    <t xml:space="preserve">Уникальность</t>
  </si>
  <si>
    <t xml:space="preserve">Балл</t>
  </si>
  <si>
    <t xml:space="preserve">Уровень (расчёт)</t>
  </si>
  <si>
    <t xml:space="preserve">Уровень (вручную)</t>
  </si>
  <si>
    <t xml:space="preserve">Итоговый уровень</t>
  </si>
  <si>
    <t xml:space="preserve">Был в 2026</t>
  </si>
  <si>
    <t xml:space="preserve">Статус</t>
  </si>
  <si>
    <t xml:space="preserve">Ответственный</t>
  </si>
  <si>
    <t xml:space="preserve">Цена пакета 2027 ₽</t>
  </si>
  <si>
    <t xml:space="preserve">Комментарий</t>
  </si>
  <si>
    <t xml:space="preserve">ПРИМЕР: Ресторан «Название»</t>
  </si>
  <si>
    <t xml:space="preserve">Да</t>
  </si>
  <si>
    <t xml:space="preserve">Иванова</t>
  </si>
  <si>
    <t xml:space="preserve">Хочет место у главной сцены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</si>
</sst>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%;\-0%;\—"/>
    <numFmt numFmtId="166" formatCode="#,##0"/>
    <numFmt numFmtId="167" formatCode="#,##0&quot; ₽&quot;;\-#,##0&quot; ₽&quot;;\—"/>
    <numFmt numFmtId="168" formatCode="#,##0&quot; ₽&quot;;[RED]\-#,##0&quot; ₽&quot;;\0"/>
    <numFmt numFmtId="169" formatCode="@"/>
    <numFmt numFmtId="170" formatCode="0.0"/>
    <numFmt numFmtId="171" formatCode="General"/>
    <numFmt numFmtId="172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2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C6E0B4"/>
        <bgColor rgb="FFD9E1F2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ont>
        <name val="Arial"/>
        <charset val="1"/>
        <family val="0"/>
        <b val="1"/>
        <color rgb="FFC00000"/>
        <sz val="10"/>
      </font>
    </dxf>
    <dxf>
      <font>
        <name val="Arial"/>
        <charset val="1"/>
        <family val="0"/>
        <b val="1"/>
        <color rgb="FF9C5700"/>
        <sz val="10"/>
      </font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5"/>
    <col collapsed="false" customWidth="true" hidden="false" outlineLevel="0" max="3" min="3" style="0" width="16"/>
    <col collapsed="false" customWidth="true" hidden="false" outlineLevel="0" max="4" min="4" style="0" width="80"/>
  </cols>
  <sheetData>
    <row r="1" customFormat="false" ht="16.15" hidden="false" customHeight="false" outlineLevel="0" collapsed="false">
      <c r="B1" s="1" t="s">
        <v>0</v>
      </c>
    </row>
    <row r="3" customFormat="false" ht="15" hidden="false" customHeight="false" outlineLevel="0" collapsed="false">
      <c r="B3" s="2" t="s">
        <v>1</v>
      </c>
      <c r="C3" s="2" t="s">
        <v>2</v>
      </c>
      <c r="D3" s="2" t="s">
        <v>3</v>
      </c>
    </row>
    <row r="4" customFormat="false" ht="23.85" hidden="false" customHeight="false" outlineLevel="0" collapsed="false">
      <c r="B4" s="3" t="s">
        <v>4</v>
      </c>
      <c r="C4" s="4" t="n">
        <v>0.1</v>
      </c>
      <c r="D4" s="3" t="s">
        <v>5</v>
      </c>
    </row>
    <row r="5" customFormat="false" ht="15" hidden="false" customHeight="false" outlineLevel="0" collapsed="false">
      <c r="B5" s="3" t="s">
        <v>6</v>
      </c>
      <c r="C5" s="5" t="n">
        <v>5000</v>
      </c>
      <c r="D5" s="3" t="s">
        <v>7</v>
      </c>
    </row>
    <row r="6" customFormat="false" ht="23.85" hidden="false" customHeight="false" outlineLevel="0" collapsed="false">
      <c r="B6" s="3" t="s">
        <v>8</v>
      </c>
      <c r="C6" s="4" t="n">
        <v>0.05</v>
      </c>
      <c r="D6" s="3" t="s">
        <v>9</v>
      </c>
    </row>
    <row r="7" customFormat="false" ht="15" hidden="false" customHeight="false" outlineLevel="0" collapsed="false">
      <c r="B7" s="3" t="s">
        <v>10</v>
      </c>
      <c r="C7" s="4" t="n">
        <v>0.5</v>
      </c>
      <c r="D7" s="3" t="s">
        <v>11</v>
      </c>
    </row>
    <row r="8" customFormat="false" ht="23.85" hidden="false" customHeight="false" outlineLevel="0" collapsed="false">
      <c r="B8" s="3" t="s">
        <v>12</v>
      </c>
      <c r="C8" s="4" t="n">
        <v>0.2</v>
      </c>
      <c r="D8" s="3" t="s">
        <v>13</v>
      </c>
    </row>
    <row r="9" customFormat="false" ht="15" hidden="false" customHeight="false" outlineLevel="0" collapsed="false">
      <c r="B9" s="3" t="s">
        <v>14</v>
      </c>
      <c r="C9" s="4" t="n">
        <v>0.25</v>
      </c>
      <c r="D9" s="3" t="s">
        <v>15</v>
      </c>
    </row>
    <row r="12" customFormat="false" ht="15" hidden="false" customHeight="false" outlineLevel="0" collapsed="false">
      <c r="B12" s="6" t="s">
        <v>16</v>
      </c>
    </row>
    <row r="13" customFormat="false" ht="15" hidden="false" customHeight="false" outlineLevel="0" collapsed="false">
      <c r="B13" s="7" t="s">
        <v>17</v>
      </c>
      <c r="C13" s="8" t="s">
        <v>18</v>
      </c>
    </row>
    <row r="14" customFormat="false" ht="15" hidden="false" customHeight="false" outlineLevel="0" collapsed="false">
      <c r="B14" s="9" t="s">
        <v>19</v>
      </c>
      <c r="C14" s="8" t="s">
        <v>20</v>
      </c>
    </row>
    <row r="15" customFormat="false" ht="15" hidden="false" customHeight="false" outlineLevel="0" collapsed="false">
      <c r="B15" s="8" t="s">
        <v>21</v>
      </c>
      <c r="C15" s="8" t="s">
        <v>22</v>
      </c>
    </row>
    <row r="16" customFormat="false" ht="15" hidden="false" customHeight="false" outlineLevel="0" collapsed="false">
      <c r="B16" s="8" t="s">
        <v>23</v>
      </c>
      <c r="C16" s="8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7"/>
    <col collapsed="false" customWidth="true" hidden="false" outlineLevel="0" max="4" min="4" style="0" width="20"/>
    <col collapsed="false" customWidth="true" hidden="false" outlineLevel="0" max="6" min="5" style="0" width="14"/>
    <col collapsed="false" customWidth="true" hidden="false" outlineLevel="0" max="7" min="7" style="0" width="8"/>
    <col collapsed="false" customWidth="true" hidden="false" outlineLevel="0" max="8" min="8" style="0" width="9"/>
    <col collapsed="false" customWidth="true" hidden="false" outlineLevel="0" max="10" min="9" style="0" width="14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5" min="14" style="0" width="12"/>
    <col collapsed="false" customWidth="true" hidden="false" outlineLevel="0" max="16" min="16" style="0" width="10"/>
    <col collapsed="false" customWidth="true" hidden="false" outlineLevel="0" max="17" min="17" style="0" width="38"/>
    <col collapsed="false" customWidth="true" hidden="false" outlineLevel="0" max="19" min="18" style="0" width="20"/>
    <col collapsed="false" customWidth="true" hidden="false" outlineLevel="0" max="21" min="20" style="0" width="12"/>
    <col collapsed="false" customWidth="true" hidden="false" outlineLevel="0" max="22" min="22" style="0" width="16"/>
  </cols>
  <sheetData>
    <row r="1" customFormat="false" ht="16.15" hidden="false" customHeight="false" outlineLevel="0" collapsed="false">
      <c r="B1" s="1" t="s">
        <v>25</v>
      </c>
    </row>
    <row r="2" customFormat="false" ht="27.75" hidden="false" customHeight="true" outlineLevel="0" collapsed="false">
      <c r="B2" s="10" t="s">
        <v>26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4" customFormat="false" ht="45" hidden="false" customHeight="true" outlineLevel="0" collapsed="false">
      <c r="B4" s="11" t="s">
        <v>27</v>
      </c>
      <c r="C4" s="11" t="s">
        <v>28</v>
      </c>
      <c r="D4" s="11" t="s">
        <v>29</v>
      </c>
      <c r="E4" s="11" t="s">
        <v>30</v>
      </c>
      <c r="F4" s="11" t="s">
        <v>31</v>
      </c>
      <c r="G4" s="11" t="s">
        <v>32</v>
      </c>
      <c r="H4" s="11" t="s">
        <v>33</v>
      </c>
      <c r="I4" s="11" t="s">
        <v>34</v>
      </c>
      <c r="J4" s="11" t="s">
        <v>35</v>
      </c>
      <c r="K4" s="11" t="s">
        <v>36</v>
      </c>
      <c r="L4" s="11" t="s">
        <v>37</v>
      </c>
      <c r="M4" s="11" t="s">
        <v>38</v>
      </c>
      <c r="N4" s="11" t="s">
        <v>39</v>
      </c>
      <c r="O4" s="11" t="s">
        <v>40</v>
      </c>
      <c r="P4" s="11" t="s">
        <v>41</v>
      </c>
      <c r="Q4" s="11" t="s">
        <v>42</v>
      </c>
      <c r="R4" s="11" t="s">
        <v>43</v>
      </c>
      <c r="S4" s="11" t="s">
        <v>44</v>
      </c>
      <c r="T4" s="11" t="s">
        <v>45</v>
      </c>
      <c r="U4" s="11" t="s">
        <v>46</v>
      </c>
      <c r="V4" s="11" t="s">
        <v>47</v>
      </c>
    </row>
    <row r="5" customFormat="false" ht="15" hidden="false" customHeight="false" outlineLevel="0" collapsed="false">
      <c r="B5" s="12" t="s">
        <v>48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</row>
    <row r="6" customFormat="false" ht="23.85" hidden="false" customHeight="false" outlineLevel="0" collapsed="false">
      <c r="B6" s="14" t="s">
        <v>49</v>
      </c>
      <c r="C6" s="14" t="s">
        <v>50</v>
      </c>
      <c r="D6" s="14" t="s">
        <v>51</v>
      </c>
      <c r="E6" s="15" t="n">
        <v>195000</v>
      </c>
      <c r="F6" s="15" t="n">
        <v>160000</v>
      </c>
      <c r="G6" s="14" t="s">
        <v>52</v>
      </c>
      <c r="H6" s="16" t="n">
        <f aca="false">Параметры!$C$4</f>
        <v>0.1</v>
      </c>
      <c r="I6" s="15" t="n">
        <f aca="false">IF(E6="","",ROUND(E6*(1+$H6)/Параметры!$C$5,0)*Параметры!$C$5)</f>
        <v>215000</v>
      </c>
      <c r="J6" s="15" t="n">
        <f aca="false">IF(F6="","",ROUND(F6*(1+$H6)/Параметры!$C$5,0)*Параметры!$C$5)</f>
        <v>175000</v>
      </c>
      <c r="K6" s="14" t="s">
        <v>53</v>
      </c>
      <c r="L6" s="14" t="n">
        <v>9</v>
      </c>
      <c r="M6" s="14" t="n">
        <v>4</v>
      </c>
      <c r="N6" s="14" t="n">
        <v>2</v>
      </c>
      <c r="O6" s="14" t="n">
        <v>2</v>
      </c>
      <c r="P6" s="14" t="s">
        <v>54</v>
      </c>
      <c r="Q6" s="14" t="s">
        <v>55</v>
      </c>
      <c r="R6" s="14" t="s">
        <v>56</v>
      </c>
      <c r="S6" s="14"/>
      <c r="T6" s="17"/>
      <c r="U6" s="17"/>
      <c r="V6" s="15" t="str">
        <f aca="false">IF(N(I6)*N(T6)+N(J6)*N(U6)=0,"",N(I6)*N(T6)+N(J6)*N(U6))</f>
        <v/>
      </c>
    </row>
    <row r="7" customFormat="false" ht="23.85" hidden="false" customHeight="false" outlineLevel="0" collapsed="false">
      <c r="B7" s="14" t="s">
        <v>57</v>
      </c>
      <c r="C7" s="14" t="s">
        <v>50</v>
      </c>
      <c r="D7" s="14" t="s">
        <v>51</v>
      </c>
      <c r="E7" s="15" t="n">
        <v>240000</v>
      </c>
      <c r="F7" s="15" t="n">
        <v>180000</v>
      </c>
      <c r="G7" s="14" t="s">
        <v>52</v>
      </c>
      <c r="H7" s="16" t="n">
        <f aca="false">Параметры!$C$4</f>
        <v>0.1</v>
      </c>
      <c r="I7" s="15" t="n">
        <f aca="false">IF(E7="","",ROUND(E7*(1+$H7)/Параметры!$C$5,0)*Параметры!$C$5)</f>
        <v>265000</v>
      </c>
      <c r="J7" s="15" t="n">
        <f aca="false">IF(F7="","",ROUND(F7*(1+$H7)/Параметры!$C$5,0)*Параметры!$C$5)</f>
        <v>200000</v>
      </c>
      <c r="K7" s="14" t="s">
        <v>54</v>
      </c>
      <c r="L7" s="14" t="n">
        <v>9</v>
      </c>
      <c r="M7" s="14" t="n">
        <v>4</v>
      </c>
      <c r="N7" s="14" t="n">
        <v>5</v>
      </c>
      <c r="O7" s="14" t="n">
        <v>5</v>
      </c>
      <c r="P7" s="14" t="s">
        <v>54</v>
      </c>
      <c r="Q7" s="14" t="s">
        <v>55</v>
      </c>
      <c r="R7" s="14" t="s">
        <v>56</v>
      </c>
      <c r="S7" s="14"/>
      <c r="T7" s="17"/>
      <c r="U7" s="17"/>
      <c r="V7" s="15" t="str">
        <f aca="false">IF(N(I7)*N(T7)+N(J7)*N(U7)=0,"",N(I7)*N(T7)+N(J7)*N(U7))</f>
        <v/>
      </c>
    </row>
    <row r="8" customFormat="false" ht="23.85" hidden="false" customHeight="false" outlineLevel="0" collapsed="false">
      <c r="B8" s="14" t="s">
        <v>58</v>
      </c>
      <c r="C8" s="14" t="s">
        <v>50</v>
      </c>
      <c r="D8" s="14" t="s">
        <v>51</v>
      </c>
      <c r="E8" s="15" t="n">
        <v>260000</v>
      </c>
      <c r="F8" s="15" t="n">
        <v>200000</v>
      </c>
      <c r="G8" s="14" t="s">
        <v>52</v>
      </c>
      <c r="H8" s="16" t="n">
        <f aca="false">Параметры!$C$4</f>
        <v>0.1</v>
      </c>
      <c r="I8" s="15" t="n">
        <f aca="false">IF(E8="","",ROUND(E8*(1+$H8)/Параметры!$C$5,0)*Параметры!$C$5)</f>
        <v>285000</v>
      </c>
      <c r="J8" s="15" t="n">
        <f aca="false">IF(F8="","",ROUND(F8*(1+$H8)/Параметры!$C$5,0)*Параметры!$C$5)</f>
        <v>220000</v>
      </c>
      <c r="K8" s="14" t="s">
        <v>54</v>
      </c>
      <c r="L8" s="14" t="n">
        <v>9</v>
      </c>
      <c r="M8" s="14" t="n">
        <v>4</v>
      </c>
      <c r="N8" s="14" t="n">
        <v>10</v>
      </c>
      <c r="O8" s="14" t="s">
        <v>59</v>
      </c>
      <c r="P8" s="14" t="n">
        <v>5</v>
      </c>
      <c r="Q8" s="14" t="s">
        <v>55</v>
      </c>
      <c r="R8" s="14" t="s">
        <v>56</v>
      </c>
      <c r="S8" s="14" t="s">
        <v>60</v>
      </c>
      <c r="T8" s="17"/>
      <c r="U8" s="17"/>
      <c r="V8" s="15" t="str">
        <f aca="false">IF(N(I8)*N(T8)+N(J8)*N(U8)=0,"",N(I8)*N(T8)+N(J8)*N(U8))</f>
        <v/>
      </c>
    </row>
    <row r="9" customFormat="false" ht="23.85" hidden="false" customHeight="false" outlineLevel="0" collapsed="false">
      <c r="B9" s="14" t="s">
        <v>61</v>
      </c>
      <c r="C9" s="14" t="s">
        <v>50</v>
      </c>
      <c r="D9" s="14" t="s">
        <v>51</v>
      </c>
      <c r="E9" s="15" t="n">
        <v>280000</v>
      </c>
      <c r="F9" s="15" t="n">
        <v>220000</v>
      </c>
      <c r="G9" s="14" t="s">
        <v>52</v>
      </c>
      <c r="H9" s="16" t="n">
        <f aca="false">Параметры!$C$4</f>
        <v>0.1</v>
      </c>
      <c r="I9" s="15" t="n">
        <f aca="false">IF(E9="","",ROUND(E9*(1+$H9)/Параметры!$C$5,0)*Параметры!$C$5)</f>
        <v>310000</v>
      </c>
      <c r="J9" s="15" t="n">
        <f aca="false">IF(F9="","",ROUND(F9*(1+$H9)/Параметры!$C$5,0)*Параметры!$C$5)</f>
        <v>240000</v>
      </c>
      <c r="K9" s="14" t="s">
        <v>54</v>
      </c>
      <c r="L9" s="14" t="n">
        <v>9</v>
      </c>
      <c r="M9" s="14" t="n">
        <v>4</v>
      </c>
      <c r="N9" s="14" t="n">
        <v>15</v>
      </c>
      <c r="O9" s="14" t="s">
        <v>62</v>
      </c>
      <c r="P9" s="14" t="n">
        <v>10</v>
      </c>
      <c r="Q9" s="14" t="s">
        <v>55</v>
      </c>
      <c r="R9" s="14" t="s">
        <v>56</v>
      </c>
      <c r="S9" s="14" t="s">
        <v>60</v>
      </c>
      <c r="T9" s="17"/>
      <c r="U9" s="17"/>
      <c r="V9" s="15" t="str">
        <f aca="false">IF(N(I9)*N(T9)+N(J9)*N(U9)=0,"",N(I9)*N(T9)+N(J9)*N(U9))</f>
        <v/>
      </c>
    </row>
    <row r="10" customFormat="false" ht="23.85" hidden="false" customHeight="false" outlineLevel="0" collapsed="false">
      <c r="B10" s="14" t="s">
        <v>63</v>
      </c>
      <c r="C10" s="14" t="s">
        <v>50</v>
      </c>
      <c r="D10" s="14" t="s">
        <v>54</v>
      </c>
      <c r="E10" s="15" t="n">
        <v>250000</v>
      </c>
      <c r="F10" s="15"/>
      <c r="G10" s="14" t="s">
        <v>52</v>
      </c>
      <c r="H10" s="16" t="n">
        <f aca="false">Параметры!$C$4</f>
        <v>0.1</v>
      </c>
      <c r="I10" s="15" t="n">
        <f aca="false">IF(E10="","",ROUND(E10*(1+$H10)/Параметры!$C$5,0)*Параметры!$C$5)</f>
        <v>275000</v>
      </c>
      <c r="J10" s="15" t="str">
        <f aca="false">IF(F10="","",ROUND(F10*(1+$H10)/Параметры!$C$5,0)*Параметры!$C$5)</f>
        <v/>
      </c>
      <c r="K10" s="14" t="s">
        <v>54</v>
      </c>
      <c r="L10" s="14" t="n">
        <v>9</v>
      </c>
      <c r="M10" s="14" t="n">
        <v>4</v>
      </c>
      <c r="N10" s="14" t="n">
        <v>10</v>
      </c>
      <c r="O10" s="14" t="s">
        <v>59</v>
      </c>
      <c r="P10" s="14" t="n">
        <v>7</v>
      </c>
      <c r="Q10" s="14" t="s">
        <v>64</v>
      </c>
      <c r="R10" s="14" t="s">
        <v>56</v>
      </c>
      <c r="S10" s="14" t="s">
        <v>65</v>
      </c>
      <c r="T10" s="17"/>
      <c r="U10" s="17"/>
      <c r="V10" s="15" t="str">
        <f aca="false">IF(N(I10)*N(T10)+N(J10)*N(U10)=0,"",N(I10)*N(T10)+N(J10)*N(U10))</f>
        <v/>
      </c>
    </row>
    <row r="11" customFormat="false" ht="15" hidden="false" customHeight="false" outlineLevel="0" collapsed="false">
      <c r="B11" s="12" t="s">
        <v>66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 customFormat="false" ht="23.85" hidden="false" customHeight="false" outlineLevel="0" collapsed="false">
      <c r="B12" s="14" t="s">
        <v>49</v>
      </c>
      <c r="C12" s="14" t="s">
        <v>67</v>
      </c>
      <c r="D12" s="14" t="s">
        <v>51</v>
      </c>
      <c r="E12" s="15" t="n">
        <v>180000</v>
      </c>
      <c r="F12" s="15" t="n">
        <v>160000</v>
      </c>
      <c r="G12" s="14" t="s">
        <v>52</v>
      </c>
      <c r="H12" s="16" t="n">
        <f aca="false">Параметры!$C$4</f>
        <v>0.1</v>
      </c>
      <c r="I12" s="15" t="n">
        <f aca="false">IF(E12="","",ROUND(E12*(1+$H12)/Параметры!$C$5,0)*Параметры!$C$5)</f>
        <v>200000</v>
      </c>
      <c r="J12" s="15" t="n">
        <f aca="false">IF(F12="","",ROUND(F12*(1+$H12)/Параметры!$C$5,0)*Параметры!$C$5)</f>
        <v>175000</v>
      </c>
      <c r="K12" s="14" t="s">
        <v>53</v>
      </c>
      <c r="L12" s="14" t="n">
        <v>9</v>
      </c>
      <c r="M12" s="14" t="n">
        <v>4</v>
      </c>
      <c r="N12" s="14" t="n">
        <v>2</v>
      </c>
      <c r="O12" s="14" t="n">
        <v>2</v>
      </c>
      <c r="P12" s="14" t="s">
        <v>54</v>
      </c>
      <c r="Q12" s="14" t="s">
        <v>55</v>
      </c>
      <c r="R12" s="14" t="s">
        <v>56</v>
      </c>
      <c r="S12" s="14"/>
      <c r="T12" s="17"/>
      <c r="U12" s="17"/>
      <c r="V12" s="15" t="str">
        <f aca="false">IF(N(I12)*N(T12)+N(J12)*N(U12)=0,"",N(I12)*N(T12)+N(J12)*N(U12))</f>
        <v/>
      </c>
    </row>
    <row r="13" customFormat="false" ht="23.85" hidden="false" customHeight="false" outlineLevel="0" collapsed="false">
      <c r="B13" s="14" t="s">
        <v>57</v>
      </c>
      <c r="C13" s="14" t="s">
        <v>67</v>
      </c>
      <c r="D13" s="14" t="s">
        <v>51</v>
      </c>
      <c r="E13" s="15" t="n">
        <v>220000</v>
      </c>
      <c r="F13" s="15" t="n">
        <v>180000</v>
      </c>
      <c r="G13" s="14" t="s">
        <v>52</v>
      </c>
      <c r="H13" s="16" t="n">
        <f aca="false">Параметры!$C$4</f>
        <v>0.1</v>
      </c>
      <c r="I13" s="15" t="n">
        <f aca="false">IF(E13="","",ROUND(E13*(1+$H13)/Параметры!$C$5,0)*Параметры!$C$5)</f>
        <v>240000</v>
      </c>
      <c r="J13" s="15" t="n">
        <f aca="false">IF(F13="","",ROUND(F13*(1+$H13)/Параметры!$C$5,0)*Параметры!$C$5)</f>
        <v>200000</v>
      </c>
      <c r="K13" s="14" t="s">
        <v>54</v>
      </c>
      <c r="L13" s="14" t="n">
        <v>9</v>
      </c>
      <c r="M13" s="14" t="n">
        <v>4</v>
      </c>
      <c r="N13" s="14" t="n">
        <v>5</v>
      </c>
      <c r="O13" s="14" t="n">
        <v>5</v>
      </c>
      <c r="P13" s="14" t="s">
        <v>54</v>
      </c>
      <c r="Q13" s="14" t="s">
        <v>55</v>
      </c>
      <c r="R13" s="14" t="s">
        <v>56</v>
      </c>
      <c r="S13" s="14"/>
      <c r="T13" s="17"/>
      <c r="U13" s="17"/>
      <c r="V13" s="15" t="str">
        <f aca="false">IF(N(I13)*N(T13)+N(J13)*N(U13)=0,"",N(I13)*N(T13)+N(J13)*N(U13))</f>
        <v/>
      </c>
    </row>
    <row r="14" customFormat="false" ht="23.85" hidden="false" customHeight="false" outlineLevel="0" collapsed="false">
      <c r="B14" s="14" t="s">
        <v>58</v>
      </c>
      <c r="C14" s="14" t="s">
        <v>67</v>
      </c>
      <c r="D14" s="14" t="s">
        <v>51</v>
      </c>
      <c r="E14" s="15" t="n">
        <v>240000</v>
      </c>
      <c r="F14" s="15" t="n">
        <v>200000</v>
      </c>
      <c r="G14" s="14" t="s">
        <v>52</v>
      </c>
      <c r="H14" s="16" t="n">
        <f aca="false">Параметры!$C$4</f>
        <v>0.1</v>
      </c>
      <c r="I14" s="15" t="n">
        <f aca="false">IF(E14="","",ROUND(E14*(1+$H14)/Параметры!$C$5,0)*Параметры!$C$5)</f>
        <v>265000</v>
      </c>
      <c r="J14" s="15" t="n">
        <f aca="false">IF(F14="","",ROUND(F14*(1+$H14)/Параметры!$C$5,0)*Параметры!$C$5)</f>
        <v>220000</v>
      </c>
      <c r="K14" s="14" t="s">
        <v>54</v>
      </c>
      <c r="L14" s="14" t="n">
        <v>9</v>
      </c>
      <c r="M14" s="14" t="n">
        <v>4</v>
      </c>
      <c r="N14" s="14" t="n">
        <v>10</v>
      </c>
      <c r="O14" s="14" t="s">
        <v>59</v>
      </c>
      <c r="P14" s="14" t="n">
        <v>5</v>
      </c>
      <c r="Q14" s="14" t="s">
        <v>55</v>
      </c>
      <c r="R14" s="14" t="s">
        <v>56</v>
      </c>
      <c r="S14" s="14" t="s">
        <v>60</v>
      </c>
      <c r="T14" s="17"/>
      <c r="U14" s="17"/>
      <c r="V14" s="15" t="str">
        <f aca="false">IF(N(I14)*N(T14)+N(J14)*N(U14)=0,"",N(I14)*N(T14)+N(J14)*N(U14))</f>
        <v/>
      </c>
    </row>
    <row r="15" customFormat="false" ht="23.85" hidden="false" customHeight="false" outlineLevel="0" collapsed="false">
      <c r="B15" s="14" t="s">
        <v>61</v>
      </c>
      <c r="C15" s="14" t="s">
        <v>67</v>
      </c>
      <c r="D15" s="14" t="s">
        <v>51</v>
      </c>
      <c r="E15" s="15" t="n">
        <v>260000</v>
      </c>
      <c r="F15" s="15" t="n">
        <v>220000</v>
      </c>
      <c r="G15" s="14" t="s">
        <v>52</v>
      </c>
      <c r="H15" s="16" t="n">
        <f aca="false">Параметры!$C$4</f>
        <v>0.1</v>
      </c>
      <c r="I15" s="15" t="n">
        <f aca="false">IF(E15="","",ROUND(E15*(1+$H15)/Параметры!$C$5,0)*Параметры!$C$5)</f>
        <v>285000</v>
      </c>
      <c r="J15" s="15" t="n">
        <f aca="false">IF(F15="","",ROUND(F15*(1+$H15)/Параметры!$C$5,0)*Параметры!$C$5)</f>
        <v>240000</v>
      </c>
      <c r="K15" s="14" t="s">
        <v>54</v>
      </c>
      <c r="L15" s="14" t="n">
        <v>9</v>
      </c>
      <c r="M15" s="14" t="n">
        <v>4</v>
      </c>
      <c r="N15" s="14" t="n">
        <v>15</v>
      </c>
      <c r="O15" s="14" t="s">
        <v>62</v>
      </c>
      <c r="P15" s="14" t="n">
        <v>10</v>
      </c>
      <c r="Q15" s="14" t="s">
        <v>55</v>
      </c>
      <c r="R15" s="14" t="s">
        <v>56</v>
      </c>
      <c r="S15" s="14" t="s">
        <v>60</v>
      </c>
      <c r="T15" s="17"/>
      <c r="U15" s="17"/>
      <c r="V15" s="15" t="str">
        <f aca="false">IF(N(I15)*N(T15)+N(J15)*N(U15)=0,"",N(I15)*N(T15)+N(J15)*N(U15))</f>
        <v/>
      </c>
    </row>
    <row r="16" customFormat="false" ht="15" hidden="false" customHeight="false" outlineLevel="0" collapsed="false">
      <c r="B16" s="14" t="s">
        <v>68</v>
      </c>
      <c r="C16" s="14" t="s">
        <v>67</v>
      </c>
      <c r="D16" s="14" t="s">
        <v>54</v>
      </c>
      <c r="E16" s="15" t="n">
        <v>250000</v>
      </c>
      <c r="F16" s="15"/>
      <c r="G16" s="14" t="s">
        <v>52</v>
      </c>
      <c r="H16" s="16" t="n">
        <f aca="false">Параметры!$C$4</f>
        <v>0.1</v>
      </c>
      <c r="I16" s="15" t="n">
        <f aca="false">IF(E16="","",ROUND(E16*(1+$H16)/Параметры!$C$5,0)*Параметры!$C$5)</f>
        <v>275000</v>
      </c>
      <c r="J16" s="15" t="str">
        <f aca="false">IF(F16="","",ROUND(F16*(1+$H16)/Параметры!$C$5,0)*Параметры!$C$5)</f>
        <v/>
      </c>
      <c r="K16" s="14" t="s">
        <v>54</v>
      </c>
      <c r="L16" s="14" t="n">
        <v>10</v>
      </c>
      <c r="M16" s="14" t="s">
        <v>54</v>
      </c>
      <c r="N16" s="14" t="n">
        <v>10</v>
      </c>
      <c r="O16" s="14" t="s">
        <v>59</v>
      </c>
      <c r="P16" s="14" t="n">
        <v>5</v>
      </c>
      <c r="Q16" s="14" t="s">
        <v>69</v>
      </c>
      <c r="R16" s="14" t="s">
        <v>56</v>
      </c>
      <c r="S16" s="14" t="s">
        <v>60</v>
      </c>
      <c r="T16" s="17"/>
      <c r="U16" s="17"/>
      <c r="V16" s="15" t="str">
        <f aca="false">IF(N(I16)*N(T16)+N(J16)*N(U16)=0,"",N(I16)*N(T16)+N(J16)*N(U16))</f>
        <v/>
      </c>
    </row>
    <row r="17" customFormat="false" ht="23.85" hidden="false" customHeight="false" outlineLevel="0" collapsed="false">
      <c r="B17" s="14" t="s">
        <v>63</v>
      </c>
      <c r="C17" s="14" t="s">
        <v>67</v>
      </c>
      <c r="D17" s="14" t="s">
        <v>54</v>
      </c>
      <c r="E17" s="15" t="n">
        <v>230000</v>
      </c>
      <c r="F17" s="15"/>
      <c r="G17" s="14" t="s">
        <v>52</v>
      </c>
      <c r="H17" s="16" t="n">
        <f aca="false">Параметры!$C$4</f>
        <v>0.1</v>
      </c>
      <c r="I17" s="15" t="n">
        <f aca="false">IF(E17="","",ROUND(E17*(1+$H17)/Параметры!$C$5,0)*Параметры!$C$5)</f>
        <v>255000</v>
      </c>
      <c r="J17" s="15" t="str">
        <f aca="false">IF(F17="","",ROUND(F17*(1+$H17)/Параметры!$C$5,0)*Параметры!$C$5)</f>
        <v/>
      </c>
      <c r="K17" s="14" t="s">
        <v>54</v>
      </c>
      <c r="L17" s="14" t="n">
        <v>9</v>
      </c>
      <c r="M17" s="14" t="n">
        <v>4</v>
      </c>
      <c r="N17" s="14" t="n">
        <v>10</v>
      </c>
      <c r="O17" s="14" t="s">
        <v>59</v>
      </c>
      <c r="P17" s="14" t="n">
        <v>7</v>
      </c>
      <c r="Q17" s="14" t="s">
        <v>64</v>
      </c>
      <c r="R17" s="14" t="s">
        <v>56</v>
      </c>
      <c r="S17" s="14" t="s">
        <v>65</v>
      </c>
      <c r="T17" s="17"/>
      <c r="U17" s="17"/>
      <c r="V17" s="15" t="str">
        <f aca="false">IF(N(I17)*N(T17)+N(J17)*N(U17)=0,"",N(I17)*N(T17)+N(J17)*N(U17))</f>
        <v/>
      </c>
    </row>
    <row r="18" customFormat="false" ht="15" hidden="false" customHeight="false" outlineLevel="0" collapsed="false">
      <c r="B18" s="12" t="s">
        <v>70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</row>
    <row r="19" customFormat="false" ht="23.85" hidden="false" customHeight="false" outlineLevel="0" collapsed="false">
      <c r="B19" s="14" t="s">
        <v>49</v>
      </c>
      <c r="C19" s="14" t="s">
        <v>71</v>
      </c>
      <c r="D19" s="14" t="s">
        <v>72</v>
      </c>
      <c r="E19" s="15" t="n">
        <v>320000</v>
      </c>
      <c r="F19" s="15" t="n">
        <v>280000</v>
      </c>
      <c r="G19" s="14" t="s">
        <v>52</v>
      </c>
      <c r="H19" s="16" t="n">
        <f aca="false">Параметры!$C$4</f>
        <v>0.1</v>
      </c>
      <c r="I19" s="15" t="n">
        <f aca="false">IF(E19="","",ROUND(E19*(1+$H19)/Параметры!$C$5,0)*Параметры!$C$5)</f>
        <v>350000</v>
      </c>
      <c r="J19" s="15" t="n">
        <f aca="false">IF(F19="","",ROUND(F19*(1+$H19)/Параметры!$C$5,0)*Параметры!$C$5)</f>
        <v>310000</v>
      </c>
      <c r="K19" s="14" t="s">
        <v>54</v>
      </c>
      <c r="L19" s="14" t="s">
        <v>73</v>
      </c>
      <c r="M19" s="14" t="s">
        <v>74</v>
      </c>
      <c r="N19" s="14" t="s">
        <v>75</v>
      </c>
      <c r="O19" s="14" t="s">
        <v>76</v>
      </c>
      <c r="P19" s="14" t="s">
        <v>54</v>
      </c>
      <c r="Q19" s="14" t="s">
        <v>55</v>
      </c>
      <c r="R19" s="14" t="s">
        <v>56</v>
      </c>
      <c r="S19" s="14"/>
      <c r="T19" s="17"/>
      <c r="U19" s="17"/>
      <c r="V19" s="15" t="str">
        <f aca="false">IF(N(I19)*N(T19)+N(J19)*N(U19)=0,"",N(I19)*N(T19)+N(J19)*N(U19))</f>
        <v/>
      </c>
    </row>
    <row r="20" customFormat="false" ht="23.85" hidden="false" customHeight="false" outlineLevel="0" collapsed="false">
      <c r="B20" s="14" t="s">
        <v>57</v>
      </c>
      <c r="C20" s="14" t="s">
        <v>71</v>
      </c>
      <c r="D20" s="14" t="s">
        <v>72</v>
      </c>
      <c r="E20" s="15" t="n">
        <v>340000</v>
      </c>
      <c r="F20" s="15" t="n">
        <v>300000</v>
      </c>
      <c r="G20" s="14" t="s">
        <v>52</v>
      </c>
      <c r="H20" s="16" t="n">
        <f aca="false">Параметры!$C$4</f>
        <v>0.1</v>
      </c>
      <c r="I20" s="15" t="n">
        <f aca="false">IF(E20="","",ROUND(E20*(1+$H20)/Параметры!$C$5,0)*Параметры!$C$5)</f>
        <v>375000</v>
      </c>
      <c r="J20" s="15" t="n">
        <f aca="false">IF(F20="","",ROUND(F20*(1+$H20)/Параметры!$C$5,0)*Параметры!$C$5)</f>
        <v>330000</v>
      </c>
      <c r="K20" s="14" t="s">
        <v>54</v>
      </c>
      <c r="L20" s="14" t="s">
        <v>73</v>
      </c>
      <c r="M20" s="14" t="s">
        <v>74</v>
      </c>
      <c r="N20" s="14" t="s">
        <v>77</v>
      </c>
      <c r="O20" s="14" t="s">
        <v>59</v>
      </c>
      <c r="P20" s="14" t="n">
        <v>5</v>
      </c>
      <c r="Q20" s="14" t="s">
        <v>55</v>
      </c>
      <c r="R20" s="14" t="s">
        <v>56</v>
      </c>
      <c r="S20" s="14"/>
      <c r="T20" s="17"/>
      <c r="U20" s="17"/>
      <c r="V20" s="15" t="str">
        <f aca="false">IF(N(I20)*N(T20)+N(J20)*N(U20)=0,"",N(I20)*N(T20)+N(J20)*N(U20))</f>
        <v/>
      </c>
    </row>
    <row r="21" customFormat="false" ht="23.85" hidden="false" customHeight="false" outlineLevel="0" collapsed="false">
      <c r="B21" s="14" t="s">
        <v>58</v>
      </c>
      <c r="C21" s="14" t="s">
        <v>71</v>
      </c>
      <c r="D21" s="14" t="s">
        <v>72</v>
      </c>
      <c r="E21" s="15" t="n">
        <v>360000</v>
      </c>
      <c r="F21" s="15" t="n">
        <v>320000</v>
      </c>
      <c r="G21" s="14" t="s">
        <v>52</v>
      </c>
      <c r="H21" s="16" t="n">
        <f aca="false">Параметры!$C$4</f>
        <v>0.1</v>
      </c>
      <c r="I21" s="15" t="n">
        <f aca="false">IF(E21="","",ROUND(E21*(1+$H21)/Параметры!$C$5,0)*Параметры!$C$5)</f>
        <v>395000</v>
      </c>
      <c r="J21" s="15" t="n">
        <f aca="false">IF(F21="","",ROUND(F21*(1+$H21)/Параметры!$C$5,0)*Параметры!$C$5)</f>
        <v>350000</v>
      </c>
      <c r="K21" s="14" t="s">
        <v>54</v>
      </c>
      <c r="L21" s="14" t="s">
        <v>73</v>
      </c>
      <c r="M21" s="14" t="s">
        <v>74</v>
      </c>
      <c r="N21" s="14" t="s">
        <v>78</v>
      </c>
      <c r="O21" s="14" t="s">
        <v>62</v>
      </c>
      <c r="P21" s="14" t="n">
        <v>10</v>
      </c>
      <c r="Q21" s="14" t="s">
        <v>55</v>
      </c>
      <c r="R21" s="14" t="s">
        <v>56</v>
      </c>
      <c r="S21" s="14" t="s">
        <v>60</v>
      </c>
      <c r="T21" s="17"/>
      <c r="U21" s="17"/>
      <c r="V21" s="15" t="str">
        <f aca="false">IF(N(I21)*N(T21)+N(J21)*N(U21)=0,"",N(I21)*N(T21)+N(J21)*N(U21))</f>
        <v/>
      </c>
    </row>
    <row r="22" customFormat="false" ht="23.85" hidden="false" customHeight="false" outlineLevel="0" collapsed="false">
      <c r="B22" s="14" t="s">
        <v>63</v>
      </c>
      <c r="C22" s="14" t="s">
        <v>71</v>
      </c>
      <c r="D22" s="14" t="s">
        <v>54</v>
      </c>
      <c r="E22" s="15" t="n">
        <v>390000</v>
      </c>
      <c r="F22" s="15"/>
      <c r="G22" s="14" t="s">
        <v>52</v>
      </c>
      <c r="H22" s="16" t="n">
        <f aca="false">Параметры!$C$4</f>
        <v>0.1</v>
      </c>
      <c r="I22" s="15" t="n">
        <f aca="false">IF(E22="","",ROUND(E22*(1+$H22)/Параметры!$C$5,0)*Параметры!$C$5)</f>
        <v>430000</v>
      </c>
      <c r="J22" s="15" t="str">
        <f aca="false">IF(F22="","",ROUND(F22*(1+$H22)/Параметры!$C$5,0)*Параметры!$C$5)</f>
        <v/>
      </c>
      <c r="K22" s="14" t="s">
        <v>54</v>
      </c>
      <c r="L22" s="14" t="s">
        <v>73</v>
      </c>
      <c r="M22" s="14" t="s">
        <v>74</v>
      </c>
      <c r="N22" s="14" t="s">
        <v>77</v>
      </c>
      <c r="O22" s="14" t="s">
        <v>59</v>
      </c>
      <c r="P22" s="14" t="n">
        <v>7</v>
      </c>
      <c r="Q22" s="14" t="s">
        <v>64</v>
      </c>
      <c r="R22" s="14" t="s">
        <v>56</v>
      </c>
      <c r="S22" s="14" t="s">
        <v>65</v>
      </c>
      <c r="T22" s="17"/>
      <c r="U22" s="17"/>
      <c r="V22" s="15" t="str">
        <f aca="false">IF(N(I22)*N(T22)+N(J22)*N(U22)=0,"",N(I22)*N(T22)+N(J22)*N(U22))</f>
        <v/>
      </c>
    </row>
    <row r="23" customFormat="false" ht="15" hidden="false" customHeight="false" outlineLevel="0" collapsed="false">
      <c r="B23" s="14" t="s">
        <v>79</v>
      </c>
      <c r="C23" s="14" t="s">
        <v>50</v>
      </c>
      <c r="D23" s="14" t="s">
        <v>80</v>
      </c>
      <c r="E23" s="15" t="n">
        <v>450000</v>
      </c>
      <c r="F23" s="15" t="n">
        <v>475000</v>
      </c>
      <c r="G23" s="14" t="s">
        <v>52</v>
      </c>
      <c r="H23" s="16" t="n">
        <f aca="false">Параметры!$C$4</f>
        <v>0.1</v>
      </c>
      <c r="I23" s="15" t="n">
        <f aca="false">IF(E23="","",ROUND(E23*(1+$H23)/Параметры!$C$5,0)*Параметры!$C$5)</f>
        <v>495000</v>
      </c>
      <c r="J23" s="15" t="n">
        <f aca="false">IF(F23="","",ROUND(F23*(1+$H23)/Параметры!$C$5,0)*Параметры!$C$5)</f>
        <v>525000</v>
      </c>
      <c r="K23" s="14"/>
      <c r="L23" s="14"/>
      <c r="M23" s="14"/>
      <c r="N23" s="14"/>
      <c r="O23" s="14"/>
      <c r="P23" s="14"/>
      <c r="Q23" s="14"/>
      <c r="R23" s="14" t="s">
        <v>56</v>
      </c>
      <c r="S23" s="14" t="s">
        <v>60</v>
      </c>
      <c r="T23" s="17"/>
      <c r="U23" s="17"/>
      <c r="V23" s="15" t="str">
        <f aca="false">IF(N(I23)*N(T23)+N(J23)*N(U23)=0,"",N(I23)*N(T23)+N(J23)*N(U23))</f>
        <v/>
      </c>
    </row>
    <row r="24" customFormat="false" ht="15" hidden="false" customHeight="false" outlineLevel="0" collapsed="false">
      <c r="B24" s="14" t="s">
        <v>79</v>
      </c>
      <c r="C24" s="14" t="s">
        <v>67</v>
      </c>
      <c r="D24" s="14" t="s">
        <v>80</v>
      </c>
      <c r="E24" s="15" t="n">
        <v>410000</v>
      </c>
      <c r="F24" s="15" t="n">
        <v>435000</v>
      </c>
      <c r="G24" s="14" t="s">
        <v>52</v>
      </c>
      <c r="H24" s="16" t="n">
        <f aca="false">Параметры!$C$4</f>
        <v>0.1</v>
      </c>
      <c r="I24" s="15" t="n">
        <f aca="false">IF(E24="","",ROUND(E24*(1+$H24)/Параметры!$C$5,0)*Параметры!$C$5)</f>
        <v>450000</v>
      </c>
      <c r="J24" s="15" t="n">
        <f aca="false">IF(F24="","",ROUND(F24*(1+$H24)/Параметры!$C$5,0)*Параметры!$C$5)</f>
        <v>480000</v>
      </c>
      <c r="K24" s="14"/>
      <c r="L24" s="14"/>
      <c r="M24" s="14"/>
      <c r="N24" s="14"/>
      <c r="O24" s="14"/>
      <c r="P24" s="14"/>
      <c r="Q24" s="14"/>
      <c r="R24" s="14" t="s">
        <v>56</v>
      </c>
      <c r="S24" s="14" t="s">
        <v>60</v>
      </c>
      <c r="T24" s="17"/>
      <c r="U24" s="17"/>
      <c r="V24" s="15" t="str">
        <f aca="false">IF(N(I24)*N(T24)+N(J24)*N(U24)=0,"",N(I24)*N(T24)+N(J24)*N(U24))</f>
        <v/>
      </c>
    </row>
    <row r="25" customFormat="false" ht="15" hidden="false" customHeight="false" outlineLevel="0" collapsed="false">
      <c r="B25" s="14" t="s">
        <v>81</v>
      </c>
      <c r="C25" s="14" t="s">
        <v>71</v>
      </c>
      <c r="D25" s="14" t="s">
        <v>82</v>
      </c>
      <c r="E25" s="15" t="n">
        <v>350000</v>
      </c>
      <c r="F25" s="15"/>
      <c r="G25" s="14" t="s">
        <v>52</v>
      </c>
      <c r="H25" s="16" t="n">
        <f aca="false">Параметры!$C$4</f>
        <v>0.1</v>
      </c>
      <c r="I25" s="15" t="n">
        <f aca="false">IF(E25="","",ROUND(E25*(1+$H25)/Параметры!$C$5,0)*Параметры!$C$5)</f>
        <v>385000</v>
      </c>
      <c r="J25" s="15" t="str">
        <f aca="false">IF(F25="","",ROUND(F25*(1+$H25)/Параметры!$C$5,0)*Параметры!$C$5)</f>
        <v/>
      </c>
      <c r="K25" s="14"/>
      <c r="L25" s="14"/>
      <c r="M25" s="14"/>
      <c r="N25" s="14" t="n">
        <v>5</v>
      </c>
      <c r="O25" s="14"/>
      <c r="P25" s="14"/>
      <c r="Q25" s="14"/>
      <c r="R25" s="14" t="s">
        <v>56</v>
      </c>
      <c r="S25" s="14"/>
      <c r="T25" s="17"/>
      <c r="U25" s="17"/>
      <c r="V25" s="15" t="str">
        <f aca="false">IF(N(I25)*N(T25)+N(J25)*N(U25)=0,"",N(I25)*N(T25)+N(J25)*N(U25))</f>
        <v/>
      </c>
    </row>
    <row r="26" customFormat="false" ht="15" hidden="false" customHeight="false" outlineLevel="0" collapsed="false">
      <c r="B26" s="14" t="s">
        <v>83</v>
      </c>
      <c r="C26" s="14" t="s">
        <v>71</v>
      </c>
      <c r="D26" s="14" t="s">
        <v>82</v>
      </c>
      <c r="E26" s="15" t="n">
        <v>370000</v>
      </c>
      <c r="F26" s="15"/>
      <c r="G26" s="14" t="s">
        <v>52</v>
      </c>
      <c r="H26" s="16" t="n">
        <f aca="false">Параметры!$C$4</f>
        <v>0.1</v>
      </c>
      <c r="I26" s="15" t="n">
        <f aca="false">IF(E26="","",ROUND(E26*(1+$H26)/Параметры!$C$5,0)*Параметры!$C$5)</f>
        <v>405000</v>
      </c>
      <c r="J26" s="15" t="str">
        <f aca="false">IF(F26="","",ROUND(F26*(1+$H26)/Параметры!$C$5,0)*Параметры!$C$5)</f>
        <v/>
      </c>
      <c r="K26" s="14"/>
      <c r="L26" s="14"/>
      <c r="M26" s="14"/>
      <c r="N26" s="14" t="n">
        <v>10</v>
      </c>
      <c r="O26" s="14"/>
      <c r="P26" s="14"/>
      <c r="Q26" s="14"/>
      <c r="R26" s="14" t="s">
        <v>56</v>
      </c>
      <c r="S26" s="14"/>
      <c r="T26" s="17"/>
      <c r="U26" s="17"/>
      <c r="V26" s="15" t="str">
        <f aca="false">IF(N(I26)*N(T26)+N(J26)*N(U26)=0,"",N(I26)*N(T26)+N(J26)*N(U26))</f>
        <v/>
      </c>
    </row>
    <row r="27" customFormat="false" ht="15" hidden="false" customHeight="false" outlineLevel="0" collapsed="false">
      <c r="B27" s="14" t="s">
        <v>84</v>
      </c>
      <c r="C27" s="14" t="s">
        <v>71</v>
      </c>
      <c r="D27" s="14" t="s">
        <v>82</v>
      </c>
      <c r="E27" s="15" t="n">
        <v>390000</v>
      </c>
      <c r="F27" s="15"/>
      <c r="G27" s="14" t="s">
        <v>52</v>
      </c>
      <c r="H27" s="16" t="n">
        <f aca="false">Параметры!$C$4</f>
        <v>0.1</v>
      </c>
      <c r="I27" s="15" t="n">
        <f aca="false">IF(E27="","",ROUND(E27*(1+$H27)/Параметры!$C$5,0)*Параметры!$C$5)</f>
        <v>430000</v>
      </c>
      <c r="J27" s="15" t="str">
        <f aca="false">IF(F27="","",ROUND(F27*(1+$H27)/Параметры!$C$5,0)*Параметры!$C$5)</f>
        <v/>
      </c>
      <c r="K27" s="14"/>
      <c r="L27" s="14"/>
      <c r="M27" s="14"/>
      <c r="N27" s="14" t="n">
        <v>15</v>
      </c>
      <c r="O27" s="14"/>
      <c r="P27" s="14"/>
      <c r="Q27" s="14"/>
      <c r="R27" s="14" t="s">
        <v>56</v>
      </c>
      <c r="S27" s="14" t="s">
        <v>60</v>
      </c>
      <c r="T27" s="17"/>
      <c r="U27" s="17"/>
      <c r="V27" s="15" t="str">
        <f aca="false">IF(N(I27)*N(T27)+N(J27)*N(U27)=0,"",N(I27)*N(T27)+N(J27)*N(U27))</f>
        <v/>
      </c>
    </row>
    <row r="28" customFormat="false" ht="15" hidden="false" customHeight="false" outlineLevel="0" collapsed="false">
      <c r="B28" s="14" t="s">
        <v>85</v>
      </c>
      <c r="C28" s="14" t="s">
        <v>71</v>
      </c>
      <c r="D28" s="14" t="s">
        <v>86</v>
      </c>
      <c r="E28" s="15" t="n">
        <v>350000</v>
      </c>
      <c r="F28" s="15" t="n">
        <v>370000</v>
      </c>
      <c r="G28" s="14" t="s">
        <v>52</v>
      </c>
      <c r="H28" s="16" t="n">
        <f aca="false">Параметры!$C$4</f>
        <v>0.1</v>
      </c>
      <c r="I28" s="15" t="n">
        <f aca="false">IF(E28="","",ROUND(E28*(1+$H28)/Параметры!$C$5,0)*Параметры!$C$5)</f>
        <v>385000</v>
      </c>
      <c r="J28" s="15" t="n">
        <f aca="false">IF(F28="","",ROUND(F28*(1+$H28)/Параметры!$C$5,0)*Параметры!$C$5)</f>
        <v>405000</v>
      </c>
      <c r="K28" s="14"/>
      <c r="L28" s="14"/>
      <c r="M28" s="14"/>
      <c r="N28" s="14"/>
      <c r="O28" s="14"/>
      <c r="P28" s="14"/>
      <c r="Q28" s="14"/>
      <c r="R28" s="14" t="s">
        <v>56</v>
      </c>
      <c r="S28" s="14"/>
      <c r="T28" s="17"/>
      <c r="U28" s="17"/>
      <c r="V28" s="15" t="str">
        <f aca="false">IF(N(I28)*N(T28)+N(J28)*N(U28)=0,"",N(I28)*N(T28)+N(J28)*N(U28))</f>
        <v/>
      </c>
    </row>
    <row r="29" customFormat="false" ht="15" hidden="false" customHeight="false" outlineLevel="0" collapsed="false">
      <c r="B29" s="12" t="s">
        <v>87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</row>
    <row r="30" customFormat="false" ht="23.85" hidden="false" customHeight="false" outlineLevel="0" collapsed="false">
      <c r="B30" s="14" t="s">
        <v>88</v>
      </c>
      <c r="C30" s="14" t="s">
        <v>89</v>
      </c>
      <c r="D30" s="14" t="s">
        <v>90</v>
      </c>
      <c r="E30" s="15" t="n">
        <v>18000</v>
      </c>
      <c r="F30" s="15"/>
      <c r="G30" s="14" t="s">
        <v>91</v>
      </c>
      <c r="H30" s="16" t="n">
        <f aca="false">Параметры!$C$4</f>
        <v>0.1</v>
      </c>
      <c r="I30" s="15" t="n">
        <f aca="false">IF(E30="","",ROUND(E30*(1+$H30)/100,0)*100)</f>
        <v>19800</v>
      </c>
      <c r="J30" s="15" t="str">
        <f aca="false">IF(F30="","",ROUND(F30*(1+$H30)/100,0)*100)</f>
        <v/>
      </c>
      <c r="K30" s="14" t="s">
        <v>54</v>
      </c>
      <c r="L30" s="14" t="s">
        <v>92</v>
      </c>
      <c r="M30" s="14" t="s">
        <v>54</v>
      </c>
      <c r="N30" s="14" t="s">
        <v>59</v>
      </c>
      <c r="O30" s="14" t="s">
        <v>54</v>
      </c>
      <c r="P30" s="14" t="s">
        <v>54</v>
      </c>
      <c r="Q30" s="14" t="s">
        <v>93</v>
      </c>
      <c r="R30" s="14" t="s">
        <v>56</v>
      </c>
      <c r="S30" s="14"/>
      <c r="T30" s="17"/>
      <c r="U30" s="17"/>
      <c r="V30" s="15" t="str">
        <f aca="false">IF(N(I30)*N(T30)+N(J30)*N(U30)=0,"",N(I30)*N(T30)+N(J30)*N(U30))</f>
        <v/>
      </c>
    </row>
    <row r="31" customFormat="false" ht="23.85" hidden="false" customHeight="false" outlineLevel="0" collapsed="false">
      <c r="B31" s="14" t="s">
        <v>94</v>
      </c>
      <c r="C31" s="14" t="s">
        <v>50</v>
      </c>
      <c r="D31" s="14" t="s">
        <v>54</v>
      </c>
      <c r="E31" s="15" t="n">
        <v>390000</v>
      </c>
      <c r="F31" s="15"/>
      <c r="G31" s="14" t="s">
        <v>52</v>
      </c>
      <c r="H31" s="16" t="n">
        <f aca="false">Параметры!$C$4</f>
        <v>0.1</v>
      </c>
      <c r="I31" s="15" t="n">
        <f aca="false">IF(E31="","",ROUND(E31*(1+$H31)/Параметры!$C$5,0)*Параметры!$C$5)</f>
        <v>430000</v>
      </c>
      <c r="J31" s="15" t="str">
        <f aca="false">IF(F31="","",ROUND(F31*(1+$H31)/Параметры!$C$5,0)*Параметры!$C$5)</f>
        <v/>
      </c>
      <c r="K31" s="14" t="s">
        <v>54</v>
      </c>
      <c r="L31" s="14" t="s">
        <v>95</v>
      </c>
      <c r="M31" s="14" t="s">
        <v>54</v>
      </c>
      <c r="N31" s="14" t="s">
        <v>62</v>
      </c>
      <c r="O31" s="14" t="s">
        <v>62</v>
      </c>
      <c r="P31" s="14" t="s">
        <v>54</v>
      </c>
      <c r="Q31" s="14" t="s">
        <v>96</v>
      </c>
      <c r="R31" s="14" t="s">
        <v>56</v>
      </c>
      <c r="S31" s="14" t="s">
        <v>60</v>
      </c>
      <c r="T31" s="17"/>
      <c r="U31" s="17"/>
      <c r="V31" s="15" t="str">
        <f aca="false">IF(N(I31)*N(T31)+N(J31)*N(U31)=0,"",N(I31)*N(T31)+N(J31)*N(U31))</f>
        <v/>
      </c>
    </row>
    <row r="32" customFormat="false" ht="23.85" hidden="false" customHeight="false" outlineLevel="0" collapsed="false">
      <c r="B32" s="14" t="s">
        <v>94</v>
      </c>
      <c r="C32" s="14" t="s">
        <v>67</v>
      </c>
      <c r="D32" s="14" t="s">
        <v>54</v>
      </c>
      <c r="E32" s="15" t="n">
        <v>290000</v>
      </c>
      <c r="F32" s="15"/>
      <c r="G32" s="14" t="s">
        <v>52</v>
      </c>
      <c r="H32" s="16" t="n">
        <f aca="false">Параметры!$C$4</f>
        <v>0.1</v>
      </c>
      <c r="I32" s="15" t="n">
        <f aca="false">IF(E32="","",ROUND(E32*(1+$H32)/Параметры!$C$5,0)*Параметры!$C$5)</f>
        <v>320000</v>
      </c>
      <c r="J32" s="15" t="str">
        <f aca="false">IF(F32="","",ROUND(F32*(1+$H32)/Параметры!$C$5,0)*Параметры!$C$5)</f>
        <v/>
      </c>
      <c r="K32" s="14" t="s">
        <v>54</v>
      </c>
      <c r="L32" s="14" t="s">
        <v>95</v>
      </c>
      <c r="M32" s="14" t="s">
        <v>54</v>
      </c>
      <c r="N32" s="14" t="s">
        <v>62</v>
      </c>
      <c r="O32" s="14" t="s">
        <v>62</v>
      </c>
      <c r="P32" s="14" t="s">
        <v>54</v>
      </c>
      <c r="Q32" s="14" t="s">
        <v>96</v>
      </c>
      <c r="R32" s="14" t="s">
        <v>56</v>
      </c>
      <c r="S32" s="14" t="s">
        <v>60</v>
      </c>
      <c r="T32" s="17"/>
      <c r="U32" s="17"/>
      <c r="V32" s="15" t="str">
        <f aca="false">IF(N(I32)*N(T32)+N(J32)*N(U32)=0,"",N(I32)*N(T32)+N(J32)*N(U32))</f>
        <v/>
      </c>
    </row>
    <row r="33" customFormat="false" ht="15" hidden="false" customHeight="false" outlineLevel="0" collapsed="false">
      <c r="B33" s="14" t="s">
        <v>97</v>
      </c>
      <c r="C33" s="14" t="s">
        <v>50</v>
      </c>
      <c r="D33" s="14" t="s">
        <v>54</v>
      </c>
      <c r="E33" s="15" t="n">
        <v>100000</v>
      </c>
      <c r="F33" s="15"/>
      <c r="G33" s="14" t="s">
        <v>52</v>
      </c>
      <c r="H33" s="16" t="n">
        <f aca="false">Параметры!$C$4</f>
        <v>0.1</v>
      </c>
      <c r="I33" s="15" t="n">
        <f aca="false">IF(E33="","",ROUND(E33*(1+$H33)/Параметры!$C$5,0)*Параметры!$C$5)</f>
        <v>110000</v>
      </c>
      <c r="J33" s="15" t="str">
        <f aca="false">IF(F33="","",ROUND(F33*(1+$H33)/Параметры!$C$5,0)*Параметры!$C$5)</f>
        <v/>
      </c>
      <c r="K33" s="14" t="s">
        <v>54</v>
      </c>
      <c r="L33" s="14" t="s">
        <v>98</v>
      </c>
      <c r="M33" s="14" t="s">
        <v>54</v>
      </c>
      <c r="N33" s="14" t="n">
        <v>3</v>
      </c>
      <c r="O33" s="14" t="s">
        <v>54</v>
      </c>
      <c r="P33" s="14" t="s">
        <v>54</v>
      </c>
      <c r="Q33" s="14" t="s">
        <v>99</v>
      </c>
      <c r="R33" s="14" t="s">
        <v>56</v>
      </c>
      <c r="S33" s="14"/>
      <c r="T33" s="17"/>
      <c r="U33" s="17"/>
      <c r="V33" s="15" t="str">
        <f aca="false">IF(N(I33)*N(T33)+N(J33)*N(U33)=0,"",N(I33)*N(T33)+N(J33)*N(U33))</f>
        <v/>
      </c>
    </row>
    <row r="34" customFormat="false" ht="15" hidden="false" customHeight="false" outlineLevel="0" collapsed="false">
      <c r="B34" s="14" t="s">
        <v>97</v>
      </c>
      <c r="C34" s="14" t="s">
        <v>67</v>
      </c>
      <c r="D34" s="14" t="s">
        <v>54</v>
      </c>
      <c r="E34" s="15" t="n">
        <v>80000</v>
      </c>
      <c r="F34" s="15"/>
      <c r="G34" s="14" t="s">
        <v>52</v>
      </c>
      <c r="H34" s="16" t="n">
        <f aca="false">Параметры!$C$4</f>
        <v>0.1</v>
      </c>
      <c r="I34" s="15" t="n">
        <f aca="false">IF(E34="","",ROUND(E34*(1+$H34)/Параметры!$C$5,0)*Параметры!$C$5)</f>
        <v>90000</v>
      </c>
      <c r="J34" s="15" t="str">
        <f aca="false">IF(F34="","",ROUND(F34*(1+$H34)/Параметры!$C$5,0)*Параметры!$C$5)</f>
        <v/>
      </c>
      <c r="K34" s="14" t="s">
        <v>54</v>
      </c>
      <c r="L34" s="14" t="s">
        <v>98</v>
      </c>
      <c r="M34" s="14" t="s">
        <v>54</v>
      </c>
      <c r="N34" s="14" t="n">
        <v>3</v>
      </c>
      <c r="O34" s="14" t="s">
        <v>54</v>
      </c>
      <c r="P34" s="14" t="s">
        <v>54</v>
      </c>
      <c r="Q34" s="14" t="s">
        <v>99</v>
      </c>
      <c r="R34" s="14" t="s">
        <v>56</v>
      </c>
      <c r="S34" s="14"/>
      <c r="T34" s="17"/>
      <c r="U34" s="17"/>
      <c r="V34" s="15" t="str">
        <f aca="false">IF(N(I34)*N(T34)+N(J34)*N(U34)=0,"",N(I34)*N(T34)+N(J34)*N(U34))</f>
        <v/>
      </c>
    </row>
    <row r="35" customFormat="false" ht="15" hidden="false" customHeight="false" outlineLevel="0" collapsed="false">
      <c r="B35" s="14" t="s">
        <v>100</v>
      </c>
      <c r="C35" s="14" t="s">
        <v>50</v>
      </c>
      <c r="D35" s="14" t="s">
        <v>54</v>
      </c>
      <c r="E35" s="15" t="n">
        <v>115000</v>
      </c>
      <c r="F35" s="15"/>
      <c r="G35" s="14" t="s">
        <v>52</v>
      </c>
      <c r="H35" s="16" t="n">
        <f aca="false">Параметры!$C$4</f>
        <v>0.1</v>
      </c>
      <c r="I35" s="15" t="n">
        <f aca="false">IF(E35="","",ROUND(E35*(1+$H35)/Параметры!$C$5,0)*Параметры!$C$5)</f>
        <v>125000</v>
      </c>
      <c r="J35" s="15" t="str">
        <f aca="false">IF(F35="","",ROUND(F35*(1+$H35)/Параметры!$C$5,0)*Параметры!$C$5)</f>
        <v/>
      </c>
      <c r="K35" s="14" t="s">
        <v>54</v>
      </c>
      <c r="L35" s="14" t="n">
        <v>4</v>
      </c>
      <c r="M35" s="14" t="s">
        <v>54</v>
      </c>
      <c r="N35" s="14" t="n">
        <v>2</v>
      </c>
      <c r="O35" s="14" t="s">
        <v>101</v>
      </c>
      <c r="P35" s="14" t="s">
        <v>54</v>
      </c>
      <c r="Q35" s="14" t="s">
        <v>99</v>
      </c>
      <c r="R35" s="14" t="s">
        <v>56</v>
      </c>
      <c r="S35" s="14"/>
      <c r="T35" s="17"/>
      <c r="U35" s="17"/>
      <c r="V35" s="15" t="str">
        <f aca="false">IF(N(I35)*N(T35)+N(J35)*N(U35)=0,"",N(I35)*N(T35)+N(J35)*N(U35))</f>
        <v/>
      </c>
    </row>
    <row r="36" customFormat="false" ht="15" hidden="false" customHeight="false" outlineLevel="0" collapsed="false">
      <c r="B36" s="14" t="s">
        <v>100</v>
      </c>
      <c r="C36" s="14" t="s">
        <v>67</v>
      </c>
      <c r="D36" s="14" t="s">
        <v>54</v>
      </c>
      <c r="E36" s="15" t="n">
        <v>90000</v>
      </c>
      <c r="F36" s="15"/>
      <c r="G36" s="14" t="s">
        <v>52</v>
      </c>
      <c r="H36" s="16" t="n">
        <f aca="false">Параметры!$C$4</f>
        <v>0.1</v>
      </c>
      <c r="I36" s="15" t="n">
        <f aca="false">IF(E36="","",ROUND(E36*(1+$H36)/Параметры!$C$5,0)*Параметры!$C$5)</f>
        <v>100000</v>
      </c>
      <c r="J36" s="15" t="str">
        <f aca="false">IF(F36="","",ROUND(F36*(1+$H36)/Параметры!$C$5,0)*Параметры!$C$5)</f>
        <v/>
      </c>
      <c r="K36" s="14" t="s">
        <v>54</v>
      </c>
      <c r="L36" s="14" t="n">
        <v>4</v>
      </c>
      <c r="M36" s="14" t="s">
        <v>54</v>
      </c>
      <c r="N36" s="14" t="n">
        <v>2</v>
      </c>
      <c r="O36" s="14" t="s">
        <v>101</v>
      </c>
      <c r="P36" s="14" t="s">
        <v>54</v>
      </c>
      <c r="Q36" s="14" t="s">
        <v>99</v>
      </c>
      <c r="R36" s="14" t="s">
        <v>56</v>
      </c>
      <c r="S36" s="14"/>
      <c r="T36" s="17"/>
      <c r="U36" s="17"/>
      <c r="V36" s="15" t="str">
        <f aca="false">IF(N(I36)*N(T36)+N(J36)*N(U36)=0,"",N(I36)*N(T36)+N(J36)*N(U36))</f>
        <v/>
      </c>
    </row>
    <row r="37" customFormat="false" ht="15" hidden="false" customHeight="false" outlineLevel="0" collapsed="false">
      <c r="B37" s="14" t="s">
        <v>102</v>
      </c>
      <c r="C37" s="14" t="s">
        <v>50</v>
      </c>
      <c r="D37" s="14" t="s">
        <v>54</v>
      </c>
      <c r="E37" s="15" t="n">
        <v>900000</v>
      </c>
      <c r="F37" s="15"/>
      <c r="G37" s="14" t="s">
        <v>52</v>
      </c>
      <c r="H37" s="16" t="n">
        <f aca="false">Параметры!$C$4</f>
        <v>0.1</v>
      </c>
      <c r="I37" s="15" t="n">
        <f aca="false">IF(E37="","",ROUND(E37*(1+$H37)/Параметры!$C$5,0)*Параметры!$C$5)</f>
        <v>990000</v>
      </c>
      <c r="J37" s="15" t="str">
        <f aca="false">IF(F37="","",ROUND(F37*(1+$H37)/Параметры!$C$5,0)*Параметры!$C$5)</f>
        <v/>
      </c>
      <c r="K37" s="14" t="s">
        <v>54</v>
      </c>
      <c r="L37" s="14" t="s">
        <v>103</v>
      </c>
      <c r="M37" s="14" t="s">
        <v>54</v>
      </c>
      <c r="N37" s="14" t="s">
        <v>104</v>
      </c>
      <c r="O37" s="14" t="s">
        <v>76</v>
      </c>
      <c r="P37" s="14" t="n">
        <v>2</v>
      </c>
      <c r="Q37" s="14" t="s">
        <v>99</v>
      </c>
      <c r="R37" s="14" t="s">
        <v>60</v>
      </c>
      <c r="S37" s="14" t="s">
        <v>65</v>
      </c>
      <c r="T37" s="17"/>
      <c r="U37" s="17"/>
      <c r="V37" s="15" t="str">
        <f aca="false">IF(N(I37)*N(T37)+N(J37)*N(U37)=0,"",N(I37)*N(T37)+N(J37)*N(U37))</f>
        <v/>
      </c>
    </row>
    <row r="38" customFormat="false" ht="15" hidden="false" customHeight="false" outlineLevel="0" collapsed="false">
      <c r="B38" s="14" t="s">
        <v>102</v>
      </c>
      <c r="C38" s="14" t="s">
        <v>67</v>
      </c>
      <c r="D38" s="14" t="s">
        <v>54</v>
      </c>
      <c r="E38" s="15" t="n">
        <v>750000</v>
      </c>
      <c r="F38" s="15"/>
      <c r="G38" s="14" t="s">
        <v>52</v>
      </c>
      <c r="H38" s="16" t="n">
        <f aca="false">Параметры!$C$4</f>
        <v>0.1</v>
      </c>
      <c r="I38" s="15" t="n">
        <f aca="false">IF(E38="","",ROUND(E38*(1+$H38)/Параметры!$C$5,0)*Параметры!$C$5)</f>
        <v>825000</v>
      </c>
      <c r="J38" s="15" t="str">
        <f aca="false">IF(F38="","",ROUND(F38*(1+$H38)/Параметры!$C$5,0)*Параметры!$C$5)</f>
        <v/>
      </c>
      <c r="K38" s="14" t="s">
        <v>54</v>
      </c>
      <c r="L38" s="14" t="s">
        <v>103</v>
      </c>
      <c r="M38" s="14" t="s">
        <v>54</v>
      </c>
      <c r="N38" s="14" t="s">
        <v>104</v>
      </c>
      <c r="O38" s="14" t="s">
        <v>76</v>
      </c>
      <c r="P38" s="14" t="n">
        <v>2</v>
      </c>
      <c r="Q38" s="14" t="s">
        <v>99</v>
      </c>
      <c r="R38" s="14" t="s">
        <v>60</v>
      </c>
      <c r="S38" s="14" t="s">
        <v>65</v>
      </c>
      <c r="T38" s="17"/>
      <c r="U38" s="17"/>
      <c r="V38" s="15" t="str">
        <f aca="false">IF(N(I38)*N(T38)+N(J38)*N(U38)=0,"",N(I38)*N(T38)+N(J38)*N(U38))</f>
        <v/>
      </c>
    </row>
    <row r="39" customFormat="false" ht="15" hidden="false" customHeight="false" outlineLevel="0" collapsed="false">
      <c r="B39" s="14" t="s">
        <v>105</v>
      </c>
      <c r="C39" s="14" t="s">
        <v>50</v>
      </c>
      <c r="D39" s="14" t="s">
        <v>54</v>
      </c>
      <c r="E39" s="15" t="n">
        <v>540000</v>
      </c>
      <c r="F39" s="15"/>
      <c r="G39" s="14" t="s">
        <v>52</v>
      </c>
      <c r="H39" s="16" t="n">
        <f aca="false">Параметры!$C$4</f>
        <v>0.1</v>
      </c>
      <c r="I39" s="15" t="n">
        <f aca="false">IF(E39="","",ROUND(E39*(1+$H39)/Параметры!$C$5,0)*Параметры!$C$5)</f>
        <v>595000</v>
      </c>
      <c r="J39" s="15" t="str">
        <f aca="false">IF(F39="","",ROUND(F39*(1+$H39)/Параметры!$C$5,0)*Параметры!$C$5)</f>
        <v/>
      </c>
      <c r="K39" s="14" t="s">
        <v>54</v>
      </c>
      <c r="L39" s="14" t="s">
        <v>54</v>
      </c>
      <c r="M39" s="14" t="s">
        <v>54</v>
      </c>
      <c r="N39" s="14" t="s">
        <v>54</v>
      </c>
      <c r="O39" s="14" t="s">
        <v>54</v>
      </c>
      <c r="P39" s="14" t="s">
        <v>54</v>
      </c>
      <c r="Q39" s="14" t="s">
        <v>106</v>
      </c>
      <c r="R39" s="14" t="s">
        <v>107</v>
      </c>
      <c r="S39" s="14"/>
      <c r="T39" s="17"/>
      <c r="U39" s="17"/>
      <c r="V39" s="15" t="str">
        <f aca="false">IF(N(I39)*N(T39)+N(J39)*N(U39)=0,"",N(I39)*N(T39)+N(J39)*N(U39))</f>
        <v/>
      </c>
    </row>
    <row r="40" customFormat="false" ht="15" hidden="false" customHeight="false" outlineLevel="0" collapsed="false">
      <c r="B40" s="14" t="s">
        <v>105</v>
      </c>
      <c r="C40" s="14" t="s">
        <v>67</v>
      </c>
      <c r="D40" s="14" t="s">
        <v>54</v>
      </c>
      <c r="E40" s="15" t="n">
        <v>300000</v>
      </c>
      <c r="F40" s="15"/>
      <c r="G40" s="14" t="s">
        <v>52</v>
      </c>
      <c r="H40" s="16" t="n">
        <f aca="false">Параметры!$C$4</f>
        <v>0.1</v>
      </c>
      <c r="I40" s="15" t="n">
        <f aca="false">IF(E40="","",ROUND(E40*(1+$H40)/Параметры!$C$5,0)*Параметры!$C$5)</f>
        <v>330000</v>
      </c>
      <c r="J40" s="15" t="str">
        <f aca="false">IF(F40="","",ROUND(F40*(1+$H40)/Параметры!$C$5,0)*Параметры!$C$5)</f>
        <v/>
      </c>
      <c r="K40" s="14" t="s">
        <v>54</v>
      </c>
      <c r="L40" s="14" t="s">
        <v>54</v>
      </c>
      <c r="M40" s="14" t="s">
        <v>54</v>
      </c>
      <c r="N40" s="14" t="s">
        <v>54</v>
      </c>
      <c r="O40" s="14" t="s">
        <v>54</v>
      </c>
      <c r="P40" s="14" t="s">
        <v>54</v>
      </c>
      <c r="Q40" s="14" t="s">
        <v>106</v>
      </c>
      <c r="R40" s="14" t="s">
        <v>107</v>
      </c>
      <c r="S40" s="14"/>
      <c r="T40" s="17"/>
      <c r="U40" s="17"/>
      <c r="V40" s="15" t="str">
        <f aca="false">IF(N(I40)*N(T40)+N(J40)*N(U40)=0,"",N(I40)*N(T40)+N(J40)*N(U40))</f>
        <v/>
      </c>
    </row>
    <row r="41" customFormat="false" ht="23.85" hidden="false" customHeight="false" outlineLevel="0" collapsed="false">
      <c r="B41" s="14" t="s">
        <v>108</v>
      </c>
      <c r="C41" s="14" t="s">
        <v>54</v>
      </c>
      <c r="D41" s="14" t="s">
        <v>54</v>
      </c>
      <c r="E41" s="15" t="n">
        <v>732000</v>
      </c>
      <c r="F41" s="15"/>
      <c r="G41" s="14" t="s">
        <v>52</v>
      </c>
      <c r="H41" s="16" t="n">
        <f aca="false">Параметры!$C$4</f>
        <v>0.1</v>
      </c>
      <c r="I41" s="15" t="n">
        <f aca="false">IF(E41="","",ROUND(E41*(1+$H41)/Параметры!$C$5,0)*Параметры!$C$5)</f>
        <v>805000</v>
      </c>
      <c r="J41" s="15" t="str">
        <f aca="false">IF(F41="","",ROUND(F41*(1+$H41)/Параметры!$C$5,0)*Параметры!$C$5)</f>
        <v/>
      </c>
      <c r="K41" s="14" t="s">
        <v>54</v>
      </c>
      <c r="L41" s="14" t="s">
        <v>109</v>
      </c>
      <c r="M41" s="14" t="s">
        <v>54</v>
      </c>
      <c r="N41" s="14" t="s">
        <v>104</v>
      </c>
      <c r="O41" s="14" t="s">
        <v>54</v>
      </c>
      <c r="P41" s="14" t="s">
        <v>54</v>
      </c>
      <c r="Q41" s="14" t="s">
        <v>110</v>
      </c>
      <c r="R41" s="14" t="s">
        <v>107</v>
      </c>
      <c r="S41" s="14" t="s">
        <v>56</v>
      </c>
      <c r="T41" s="17"/>
      <c r="U41" s="17"/>
      <c r="V41" s="15" t="str">
        <f aca="false">IF(N(I41)*N(T41)+N(J41)*N(U41)=0,"",N(I41)*N(T41)+N(J41)*N(U41))</f>
        <v/>
      </c>
    </row>
    <row r="42" customFormat="false" ht="15" hidden="false" customHeight="false" outlineLevel="0" collapsed="false">
      <c r="B42" s="14" t="s">
        <v>111</v>
      </c>
      <c r="C42" s="14" t="s">
        <v>50</v>
      </c>
      <c r="D42" s="14" t="s">
        <v>54</v>
      </c>
      <c r="E42" s="15" t="n">
        <v>500000</v>
      </c>
      <c r="F42" s="15"/>
      <c r="G42" s="14" t="s">
        <v>52</v>
      </c>
      <c r="H42" s="16" t="n">
        <f aca="false">Параметры!$C$4</f>
        <v>0.1</v>
      </c>
      <c r="I42" s="15" t="n">
        <f aca="false">IF(E42="","",ROUND(E42*(1+$H42)/Параметры!$C$5,0)*Параметры!$C$5)</f>
        <v>550000</v>
      </c>
      <c r="J42" s="15" t="str">
        <f aca="false">IF(F42="","",ROUND(F42*(1+$H42)/Параметры!$C$5,0)*Параметры!$C$5)</f>
        <v/>
      </c>
      <c r="K42" s="14" t="s">
        <v>54</v>
      </c>
      <c r="L42" s="14" t="n">
        <v>20</v>
      </c>
      <c r="M42" s="14" t="s">
        <v>54</v>
      </c>
      <c r="N42" s="14" t="n">
        <v>10</v>
      </c>
      <c r="O42" s="14" t="s">
        <v>54</v>
      </c>
      <c r="P42" s="14" t="s">
        <v>54</v>
      </c>
      <c r="Q42" s="14" t="s">
        <v>54</v>
      </c>
      <c r="R42" s="14" t="s">
        <v>107</v>
      </c>
      <c r="S42" s="14" t="s">
        <v>60</v>
      </c>
      <c r="T42" s="17"/>
      <c r="U42" s="17"/>
      <c r="V42" s="15" t="str">
        <f aca="false">IF(N(I42)*N(T42)+N(J42)*N(U42)=0,"",N(I42)*N(T42)+N(J42)*N(U42))</f>
        <v/>
      </c>
    </row>
    <row r="43" customFormat="false" ht="15" hidden="false" customHeight="false" outlineLevel="0" collapsed="false">
      <c r="B43" s="14" t="s">
        <v>111</v>
      </c>
      <c r="C43" s="14" t="s">
        <v>67</v>
      </c>
      <c r="D43" s="14" t="s">
        <v>54</v>
      </c>
      <c r="E43" s="15" t="n">
        <v>300000</v>
      </c>
      <c r="F43" s="15"/>
      <c r="G43" s="14" t="s">
        <v>52</v>
      </c>
      <c r="H43" s="16" t="n">
        <f aca="false">Параметры!$C$4</f>
        <v>0.1</v>
      </c>
      <c r="I43" s="15" t="n">
        <f aca="false">IF(E43="","",ROUND(E43*(1+$H43)/Параметры!$C$5,0)*Параметры!$C$5)</f>
        <v>330000</v>
      </c>
      <c r="J43" s="15" t="str">
        <f aca="false">IF(F43="","",ROUND(F43*(1+$H43)/Параметры!$C$5,0)*Параметры!$C$5)</f>
        <v/>
      </c>
      <c r="K43" s="14" t="s">
        <v>54</v>
      </c>
      <c r="L43" s="14" t="n">
        <v>20</v>
      </c>
      <c r="M43" s="14" t="s">
        <v>54</v>
      </c>
      <c r="N43" s="14" t="n">
        <v>10</v>
      </c>
      <c r="O43" s="14" t="s">
        <v>54</v>
      </c>
      <c r="P43" s="14" t="s">
        <v>54</v>
      </c>
      <c r="Q43" s="14" t="s">
        <v>54</v>
      </c>
      <c r="R43" s="14" t="s">
        <v>107</v>
      </c>
      <c r="S43" s="14" t="s">
        <v>60</v>
      </c>
      <c r="T43" s="17"/>
      <c r="U43" s="17"/>
      <c r="V43" s="15" t="str">
        <f aca="false">IF(N(I43)*N(T43)+N(J43)*N(U43)=0,"",N(I43)*N(T43)+N(J43)*N(U43))</f>
        <v/>
      </c>
    </row>
    <row r="44" customFormat="false" ht="15" hidden="false" customHeight="false" outlineLevel="0" collapsed="false">
      <c r="B44" s="14" t="s">
        <v>112</v>
      </c>
      <c r="C44" s="14" t="s">
        <v>50</v>
      </c>
      <c r="D44" s="14" t="s">
        <v>54</v>
      </c>
      <c r="E44" s="15" t="n">
        <v>300000</v>
      </c>
      <c r="F44" s="15"/>
      <c r="G44" s="14" t="s">
        <v>52</v>
      </c>
      <c r="H44" s="16" t="n">
        <f aca="false">Параметры!$C$4</f>
        <v>0.1</v>
      </c>
      <c r="I44" s="15" t="n">
        <f aca="false">IF(E44="","",ROUND(E44*(1+$H44)/Параметры!$C$5,0)*Параметры!$C$5)</f>
        <v>330000</v>
      </c>
      <c r="J44" s="15" t="str">
        <f aca="false">IF(F44="","",ROUND(F44*(1+$H44)/Параметры!$C$5,0)*Параметры!$C$5)</f>
        <v/>
      </c>
      <c r="K44" s="14" t="s">
        <v>54</v>
      </c>
      <c r="L44" s="14" t="n">
        <v>20</v>
      </c>
      <c r="M44" s="14" t="s">
        <v>54</v>
      </c>
      <c r="N44" s="14" t="n">
        <v>10</v>
      </c>
      <c r="O44" s="14" t="s">
        <v>54</v>
      </c>
      <c r="P44" s="14" t="s">
        <v>54</v>
      </c>
      <c r="Q44" s="14" t="s">
        <v>54</v>
      </c>
      <c r="R44" s="14" t="s">
        <v>56</v>
      </c>
      <c r="S44" s="14" t="s">
        <v>65</v>
      </c>
      <c r="T44" s="17"/>
      <c r="U44" s="17"/>
      <c r="V44" s="15" t="str">
        <f aca="false">IF(N(I44)*N(T44)+N(J44)*N(U44)=0,"",N(I44)*N(T44)+N(J44)*N(U44))</f>
        <v/>
      </c>
    </row>
    <row r="45" customFormat="false" ht="15" hidden="false" customHeight="false" outlineLevel="0" collapsed="false">
      <c r="B45" s="14" t="s">
        <v>112</v>
      </c>
      <c r="C45" s="14" t="s">
        <v>67</v>
      </c>
      <c r="D45" s="14" t="s">
        <v>54</v>
      </c>
      <c r="E45" s="15" t="n">
        <v>200000</v>
      </c>
      <c r="F45" s="15"/>
      <c r="G45" s="14" t="s">
        <v>52</v>
      </c>
      <c r="H45" s="16" t="n">
        <f aca="false">Параметры!$C$4</f>
        <v>0.1</v>
      </c>
      <c r="I45" s="15" t="n">
        <f aca="false">IF(E45="","",ROUND(E45*(1+$H45)/Параметры!$C$5,0)*Параметры!$C$5)</f>
        <v>220000</v>
      </c>
      <c r="J45" s="15" t="str">
        <f aca="false">IF(F45="","",ROUND(F45*(1+$H45)/Параметры!$C$5,0)*Параметры!$C$5)</f>
        <v/>
      </c>
      <c r="K45" s="14" t="s">
        <v>54</v>
      </c>
      <c r="L45" s="14" t="n">
        <v>20</v>
      </c>
      <c r="M45" s="14" t="s">
        <v>54</v>
      </c>
      <c r="N45" s="14" t="n">
        <v>10</v>
      </c>
      <c r="O45" s="14" t="s">
        <v>54</v>
      </c>
      <c r="P45" s="14" t="s">
        <v>54</v>
      </c>
      <c r="Q45" s="14" t="s">
        <v>54</v>
      </c>
      <c r="R45" s="14" t="s">
        <v>56</v>
      </c>
      <c r="S45" s="14" t="s">
        <v>65</v>
      </c>
      <c r="T45" s="17"/>
      <c r="U45" s="17"/>
      <c r="V45" s="15" t="str">
        <f aca="false">IF(N(I45)*N(T45)+N(J45)*N(U45)=0,"",N(I45)*N(T45)+N(J45)*N(U45))</f>
        <v/>
      </c>
    </row>
    <row r="46" customFormat="false" ht="15" hidden="false" customHeight="false" outlineLevel="0" collapsed="false">
      <c r="B46" s="14" t="s">
        <v>113</v>
      </c>
      <c r="C46" s="14" t="s">
        <v>89</v>
      </c>
      <c r="D46" s="14" t="s">
        <v>54</v>
      </c>
      <c r="E46" s="15" t="n">
        <v>75000</v>
      </c>
      <c r="F46" s="15"/>
      <c r="G46" s="14" t="s">
        <v>52</v>
      </c>
      <c r="H46" s="16" t="n">
        <f aca="false">Параметры!$C$4</f>
        <v>0.1</v>
      </c>
      <c r="I46" s="15" t="n">
        <f aca="false">IF(E46="","",ROUND(E46*(1+$H46)/Параметры!$C$5,0)*Параметры!$C$5)</f>
        <v>85000</v>
      </c>
      <c r="J46" s="15" t="str">
        <f aca="false">IF(F46="","",ROUND(F46*(1+$H46)/Параметры!$C$5,0)*Параметры!$C$5)</f>
        <v/>
      </c>
      <c r="K46" s="14" t="s">
        <v>54</v>
      </c>
      <c r="L46" s="14" t="n">
        <v>3</v>
      </c>
      <c r="M46" s="14" t="s">
        <v>54</v>
      </c>
      <c r="N46" s="14" t="n">
        <v>3</v>
      </c>
      <c r="O46" s="14" t="s">
        <v>54</v>
      </c>
      <c r="P46" s="14" t="s">
        <v>54</v>
      </c>
      <c r="Q46" s="14" t="s">
        <v>99</v>
      </c>
      <c r="R46" s="14" t="s">
        <v>56</v>
      </c>
      <c r="S46" s="14"/>
      <c r="T46" s="17"/>
      <c r="U46" s="17"/>
      <c r="V46" s="15" t="str">
        <f aca="false">IF(N(I46)*N(T46)+N(J46)*N(U46)=0,"",N(I46)*N(T46)+N(J46)*N(U46))</f>
        <v/>
      </c>
    </row>
    <row r="47" customFormat="false" ht="15" hidden="false" customHeight="false" outlineLevel="0" collapsed="false">
      <c r="B47" s="12" t="s">
        <v>114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</row>
    <row r="48" customFormat="false" ht="15" hidden="false" customHeight="false" outlineLevel="0" collapsed="false">
      <c r="B48" s="14" t="s">
        <v>115</v>
      </c>
      <c r="C48" s="14" t="s">
        <v>116</v>
      </c>
      <c r="D48" s="14" t="s">
        <v>54</v>
      </c>
      <c r="E48" s="15" t="n">
        <v>10000</v>
      </c>
      <c r="F48" s="15"/>
      <c r="G48" s="14" t="s">
        <v>117</v>
      </c>
      <c r="H48" s="16" t="n">
        <f aca="false">Параметры!$C$4</f>
        <v>0.1</v>
      </c>
      <c r="I48" s="15" t="n">
        <f aca="false">IF(E48="","",ROUND(E48*(1+$H48)/100,0)*100)</f>
        <v>11000</v>
      </c>
      <c r="J48" s="15" t="str">
        <f aca="false">IF(F48="","",ROUND(F48*(1+$H48)/100,0)*100)</f>
        <v/>
      </c>
      <c r="K48" s="14" t="s">
        <v>54</v>
      </c>
      <c r="L48" s="14" t="s">
        <v>54</v>
      </c>
      <c r="M48" s="14" t="s">
        <v>54</v>
      </c>
      <c r="N48" s="14" t="s">
        <v>54</v>
      </c>
      <c r="O48" s="14" t="s">
        <v>54</v>
      </c>
      <c r="P48" s="14" t="s">
        <v>54</v>
      </c>
      <c r="Q48" s="14" t="s">
        <v>54</v>
      </c>
      <c r="R48" s="14" t="s">
        <v>56</v>
      </c>
      <c r="S48" s="14"/>
      <c r="T48" s="17"/>
      <c r="U48" s="17"/>
      <c r="V48" s="15" t="str">
        <f aca="false">IF(N(I48)*N(T48)+N(J48)*N(U48)=0,"",N(I48)*N(T48)+N(J48)*N(U48))</f>
        <v/>
      </c>
    </row>
    <row r="49" customFormat="false" ht="15" hidden="false" customHeight="false" outlineLevel="0" collapsed="false">
      <c r="B49" s="14" t="s">
        <v>118</v>
      </c>
      <c r="C49" s="14" t="s">
        <v>116</v>
      </c>
      <c r="D49" s="14" t="s">
        <v>54</v>
      </c>
      <c r="E49" s="15" t="n">
        <v>20000</v>
      </c>
      <c r="F49" s="15"/>
      <c r="G49" s="14" t="s">
        <v>117</v>
      </c>
      <c r="H49" s="16" t="n">
        <f aca="false">Параметры!$C$4</f>
        <v>0.1</v>
      </c>
      <c r="I49" s="15" t="n">
        <f aca="false">IF(E49="","",ROUND(E49*(1+$H49)/100,0)*100)</f>
        <v>22000</v>
      </c>
      <c r="J49" s="15" t="str">
        <f aca="false">IF(F49="","",ROUND(F49*(1+$H49)/100,0)*100)</f>
        <v/>
      </c>
      <c r="K49" s="14" t="s">
        <v>54</v>
      </c>
      <c r="L49" s="14" t="s">
        <v>54</v>
      </c>
      <c r="M49" s="14" t="s">
        <v>54</v>
      </c>
      <c r="N49" s="14" t="s">
        <v>54</v>
      </c>
      <c r="O49" s="14" t="s">
        <v>54</v>
      </c>
      <c r="P49" s="14" t="s">
        <v>54</v>
      </c>
      <c r="Q49" s="14" t="s">
        <v>54</v>
      </c>
      <c r="R49" s="14" t="s">
        <v>56</v>
      </c>
      <c r="S49" s="14"/>
      <c r="T49" s="17"/>
      <c r="U49" s="17"/>
      <c r="V49" s="15" t="str">
        <f aca="false">IF(N(I49)*N(T49)+N(J49)*N(U49)=0,"",N(I49)*N(T49)+N(J49)*N(U49))</f>
        <v/>
      </c>
    </row>
    <row r="50" customFormat="false" ht="15" hidden="false" customHeight="false" outlineLevel="0" collapsed="false">
      <c r="B50" s="14" t="s">
        <v>119</v>
      </c>
      <c r="C50" s="14" t="s">
        <v>116</v>
      </c>
      <c r="D50" s="14" t="s">
        <v>54</v>
      </c>
      <c r="E50" s="15" t="n">
        <v>15000</v>
      </c>
      <c r="F50" s="15"/>
      <c r="G50" s="14" t="s">
        <v>117</v>
      </c>
      <c r="H50" s="16" t="n">
        <f aca="false">Параметры!$C$4</f>
        <v>0.1</v>
      </c>
      <c r="I50" s="15" t="n">
        <f aca="false">IF(E50="","",ROUND(E50*(1+$H50)/100,0)*100)</f>
        <v>16500</v>
      </c>
      <c r="J50" s="15" t="str">
        <f aca="false">IF(F50="","",ROUND(F50*(1+$H50)/100,0)*100)</f>
        <v/>
      </c>
      <c r="K50" s="14" t="s">
        <v>54</v>
      </c>
      <c r="L50" s="14" t="s">
        <v>54</v>
      </c>
      <c r="M50" s="14" t="s">
        <v>54</v>
      </c>
      <c r="N50" s="14" t="s">
        <v>54</v>
      </c>
      <c r="O50" s="14" t="s">
        <v>54</v>
      </c>
      <c r="P50" s="14" t="s">
        <v>54</v>
      </c>
      <c r="Q50" s="14" t="s">
        <v>54</v>
      </c>
      <c r="R50" s="14" t="s">
        <v>56</v>
      </c>
      <c r="S50" s="14"/>
      <c r="T50" s="17"/>
      <c r="U50" s="17"/>
      <c r="V50" s="15" t="str">
        <f aca="false">IF(N(I50)*N(T50)+N(J50)*N(U50)=0,"",N(I50)*N(T50)+N(J50)*N(U50))</f>
        <v/>
      </c>
    </row>
    <row r="51" customFormat="false" ht="15" hidden="false" customHeight="false" outlineLevel="0" collapsed="false">
      <c r="B51" s="14" t="s">
        <v>120</v>
      </c>
      <c r="C51" s="14" t="s">
        <v>116</v>
      </c>
      <c r="D51" s="14" t="s">
        <v>54</v>
      </c>
      <c r="E51" s="15" t="n">
        <v>35000</v>
      </c>
      <c r="F51" s="15"/>
      <c r="G51" s="14" t="s">
        <v>117</v>
      </c>
      <c r="H51" s="16" t="n">
        <f aca="false">Параметры!$C$4</f>
        <v>0.1</v>
      </c>
      <c r="I51" s="15" t="n">
        <f aca="false">IF(E51="","",ROUND(E51*(1+$H51)/100,0)*100)</f>
        <v>38500</v>
      </c>
      <c r="J51" s="15" t="str">
        <f aca="false">IF(F51="","",ROUND(F51*(1+$H51)/100,0)*100)</f>
        <v/>
      </c>
      <c r="K51" s="14" t="s">
        <v>54</v>
      </c>
      <c r="L51" s="14" t="s">
        <v>54</v>
      </c>
      <c r="M51" s="14" t="s">
        <v>54</v>
      </c>
      <c r="N51" s="14" t="s">
        <v>54</v>
      </c>
      <c r="O51" s="14" t="s">
        <v>54</v>
      </c>
      <c r="P51" s="14" t="s">
        <v>54</v>
      </c>
      <c r="Q51" s="14" t="s">
        <v>54</v>
      </c>
      <c r="R51" s="14" t="s">
        <v>56</v>
      </c>
      <c r="S51" s="14"/>
      <c r="T51" s="17"/>
      <c r="U51" s="17"/>
      <c r="V51" s="15" t="str">
        <f aca="false">IF(N(I51)*N(T51)+N(J51)*N(U51)=0,"",N(I51)*N(T51)+N(J51)*N(U51))</f>
        <v/>
      </c>
    </row>
    <row r="52" customFormat="false" ht="15" hidden="false" customHeight="false" outlineLevel="0" collapsed="false">
      <c r="B52" s="14" t="s">
        <v>121</v>
      </c>
      <c r="C52" s="14" t="s">
        <v>116</v>
      </c>
      <c r="D52" s="14" t="s">
        <v>54</v>
      </c>
      <c r="E52" s="15" t="n">
        <v>30000</v>
      </c>
      <c r="F52" s="15"/>
      <c r="G52" s="14" t="s">
        <v>117</v>
      </c>
      <c r="H52" s="16" t="n">
        <f aca="false">Параметры!$C$4</f>
        <v>0.1</v>
      </c>
      <c r="I52" s="15" t="n">
        <f aca="false">IF(E52="","",ROUND(E52*(1+$H52)/100,0)*100)</f>
        <v>33000</v>
      </c>
      <c r="J52" s="15" t="str">
        <f aca="false">IF(F52="","",ROUND(F52*(1+$H52)/100,0)*100)</f>
        <v/>
      </c>
      <c r="K52" s="14" t="s">
        <v>54</v>
      </c>
      <c r="L52" s="14" t="s">
        <v>54</v>
      </c>
      <c r="M52" s="14" t="s">
        <v>54</v>
      </c>
      <c r="N52" s="14" t="s">
        <v>54</v>
      </c>
      <c r="O52" s="14" t="s">
        <v>54</v>
      </c>
      <c r="P52" s="14" t="s">
        <v>54</v>
      </c>
      <c r="Q52" s="14" t="s">
        <v>54</v>
      </c>
      <c r="R52" s="14" t="s">
        <v>56</v>
      </c>
      <c r="S52" s="14"/>
      <c r="T52" s="17"/>
      <c r="U52" s="17"/>
      <c r="V52" s="15" t="str">
        <f aca="false">IF(N(I52)*N(T52)+N(J52)*N(U52)=0,"",N(I52)*N(T52)+N(J52)*N(U52))</f>
        <v/>
      </c>
    </row>
    <row r="53" customFormat="false" ht="15" hidden="false" customHeight="false" outlineLevel="0" collapsed="false">
      <c r="B53" s="14" t="s">
        <v>122</v>
      </c>
      <c r="C53" s="14" t="s">
        <v>116</v>
      </c>
      <c r="D53" s="14" t="s">
        <v>54</v>
      </c>
      <c r="E53" s="15" t="n">
        <v>2000</v>
      </c>
      <c r="F53" s="15"/>
      <c r="G53" s="14" t="s">
        <v>123</v>
      </c>
      <c r="H53" s="16" t="n">
        <f aca="false">Параметры!$C$4</f>
        <v>0.1</v>
      </c>
      <c r="I53" s="15" t="n">
        <f aca="false">IF(E53="","",ROUND(E53*(1+$H53)/100,0)*100)</f>
        <v>2200</v>
      </c>
      <c r="J53" s="15" t="str">
        <f aca="false">IF(F53="","",ROUND(F53*(1+$H53)/100,0)*100)</f>
        <v/>
      </c>
      <c r="K53" s="14" t="s">
        <v>54</v>
      </c>
      <c r="L53" s="14" t="s">
        <v>54</v>
      </c>
      <c r="M53" s="14" t="s">
        <v>54</v>
      </c>
      <c r="N53" s="14" t="s">
        <v>54</v>
      </c>
      <c r="O53" s="14" t="s">
        <v>54</v>
      </c>
      <c r="P53" s="14" t="s">
        <v>54</v>
      </c>
      <c r="Q53" s="14" t="s">
        <v>54</v>
      </c>
      <c r="R53" s="14" t="s">
        <v>56</v>
      </c>
      <c r="S53" s="14"/>
      <c r="T53" s="17"/>
      <c r="U53" s="17"/>
      <c r="V53" s="15" t="str">
        <f aca="false">IF(N(I53)*N(T53)+N(J53)*N(U53)=0,"",N(I53)*N(T53)+N(J53)*N(U53))</f>
        <v/>
      </c>
    </row>
    <row r="54" customFormat="false" ht="15" hidden="false" customHeight="false" outlineLevel="0" collapsed="false">
      <c r="B54" s="18" t="s">
        <v>124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20" t="n">
        <f aca="false">SUM(V5:V53)</f>
        <v>0</v>
      </c>
    </row>
    <row r="56" customFormat="false" ht="15" hidden="false" customHeight="false" outlineLevel="0" collapsed="false">
      <c r="B56" s="6" t="s">
        <v>125</v>
      </c>
    </row>
    <row r="57" customFormat="false" ht="15" hidden="false" customHeight="false" outlineLevel="0" collapsed="false">
      <c r="B57" s="8" t="s">
        <v>126</v>
      </c>
    </row>
    <row r="58" customFormat="false" ht="15" hidden="false" customHeight="false" outlineLevel="0" collapsed="false">
      <c r="B58" s="8" t="s">
        <v>127</v>
      </c>
    </row>
    <row r="59" customFormat="false" ht="15" hidden="false" customHeight="false" outlineLevel="0" collapsed="false">
      <c r="B59" s="8" t="s">
        <v>128</v>
      </c>
    </row>
    <row r="60" customFormat="false" ht="15" hidden="false" customHeight="false" outlineLevel="0" collapsed="false">
      <c r="B60" s="8" t="s">
        <v>129</v>
      </c>
    </row>
    <row r="61" customFormat="false" ht="15" hidden="false" customHeight="false" outlineLevel="0" collapsed="false">
      <c r="B61" s="8" t="s">
        <v>130</v>
      </c>
    </row>
  </sheetData>
  <mergeCells count="1">
    <mergeCell ref="B2:V2"/>
  </mergeCells>
  <dataValidations count="1">
    <dataValidation allowBlank="true" errorStyle="stop" operator="between" showDropDown="false" showErrorMessage="false" showInputMessage="false" sqref="R6:S10 R12:S17 R19:S28 R30:S46 R48:S53" type="list">
      <formula1>"Оферта,Договор бар ВИП,Деление выручки,Гастроспонсорство"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6" min="3" style="0" width="42"/>
  </cols>
  <sheetData>
    <row r="1" customFormat="false" ht="16.15" hidden="false" customHeight="false" outlineLevel="0" collapsed="false">
      <c r="B1" s="1" t="s">
        <v>131</v>
      </c>
    </row>
    <row r="2" customFormat="false" ht="15" hidden="false" customHeight="false" outlineLevel="0" collapsed="false">
      <c r="B2" s="21" t="s">
        <v>132</v>
      </c>
      <c r="C2" s="21"/>
      <c r="D2" s="21"/>
      <c r="E2" s="21"/>
      <c r="F2" s="21"/>
    </row>
    <row r="4" customFormat="false" ht="15" hidden="false" customHeight="false" outlineLevel="0" collapsed="false">
      <c r="B4" s="11" t="s">
        <v>1</v>
      </c>
      <c r="C4" s="11" t="s">
        <v>133</v>
      </c>
      <c r="D4" s="11" t="s">
        <v>134</v>
      </c>
      <c r="E4" s="11" t="s">
        <v>135</v>
      </c>
      <c r="F4" s="11" t="s">
        <v>136</v>
      </c>
    </row>
    <row r="5" customFormat="false" ht="60" hidden="false" customHeight="true" outlineLevel="0" collapsed="false">
      <c r="B5" s="22" t="s">
        <v>137</v>
      </c>
      <c r="C5" s="3" t="s">
        <v>138</v>
      </c>
      <c r="D5" s="3" t="s">
        <v>139</v>
      </c>
      <c r="E5" s="3" t="s">
        <v>140</v>
      </c>
      <c r="F5" s="3" t="s">
        <v>141</v>
      </c>
    </row>
    <row r="6" customFormat="false" ht="45" hidden="false" customHeight="true" outlineLevel="0" collapsed="false">
      <c r="B6" s="22" t="s">
        <v>142</v>
      </c>
      <c r="C6" s="3" t="s">
        <v>143</v>
      </c>
      <c r="D6" s="3" t="s">
        <v>144</v>
      </c>
      <c r="E6" s="3" t="s">
        <v>145</v>
      </c>
      <c r="F6" s="3" t="s">
        <v>146</v>
      </c>
    </row>
    <row r="7" customFormat="false" ht="105" hidden="false" customHeight="true" outlineLevel="0" collapsed="false">
      <c r="B7" s="22" t="s">
        <v>147</v>
      </c>
      <c r="C7" s="3" t="s">
        <v>148</v>
      </c>
      <c r="D7" s="3" t="s">
        <v>149</v>
      </c>
      <c r="E7" s="3" t="s">
        <v>150</v>
      </c>
      <c r="F7" s="3" t="s">
        <v>151</v>
      </c>
    </row>
    <row r="8" customFormat="false" ht="45" hidden="false" customHeight="true" outlineLevel="0" collapsed="false">
      <c r="B8" s="22" t="s">
        <v>152</v>
      </c>
      <c r="C8" s="3" t="s">
        <v>153</v>
      </c>
      <c r="D8" s="3" t="s">
        <v>154</v>
      </c>
      <c r="E8" s="3" t="s">
        <v>155</v>
      </c>
      <c r="F8" s="3" t="s">
        <v>156</v>
      </c>
    </row>
    <row r="9" customFormat="false" ht="60" hidden="false" customHeight="true" outlineLevel="0" collapsed="false">
      <c r="B9" s="22" t="s">
        <v>157</v>
      </c>
      <c r="C9" s="3" t="s">
        <v>158</v>
      </c>
      <c r="D9" s="3" t="s">
        <v>159</v>
      </c>
      <c r="E9" s="3" t="s">
        <v>160</v>
      </c>
      <c r="F9" s="3" t="s">
        <v>161</v>
      </c>
    </row>
    <row r="10" customFormat="false" ht="60" hidden="false" customHeight="true" outlineLevel="0" collapsed="false">
      <c r="B10" s="22" t="s">
        <v>162</v>
      </c>
      <c r="C10" s="3" t="s">
        <v>163</v>
      </c>
      <c r="D10" s="3" t="s">
        <v>164</v>
      </c>
      <c r="E10" s="3" t="s">
        <v>165</v>
      </c>
      <c r="F10" s="3" t="s">
        <v>166</v>
      </c>
    </row>
    <row r="11" customFormat="false" ht="60" hidden="false" customHeight="true" outlineLevel="0" collapsed="false">
      <c r="B11" s="22" t="s">
        <v>167</v>
      </c>
      <c r="C11" s="3" t="s">
        <v>168</v>
      </c>
      <c r="D11" s="3" t="s">
        <v>169</v>
      </c>
      <c r="E11" s="3" t="s">
        <v>170</v>
      </c>
      <c r="F11" s="3" t="s">
        <v>171</v>
      </c>
    </row>
    <row r="12" customFormat="false" ht="60" hidden="false" customHeight="true" outlineLevel="0" collapsed="false">
      <c r="B12" s="22" t="s">
        <v>172</v>
      </c>
      <c r="C12" s="3" t="s">
        <v>173</v>
      </c>
      <c r="D12" s="3" t="s">
        <v>174</v>
      </c>
      <c r="E12" s="3" t="s">
        <v>175</v>
      </c>
      <c r="F12" s="3" t="s">
        <v>176</v>
      </c>
    </row>
    <row r="13" customFormat="false" ht="90" hidden="false" customHeight="true" outlineLevel="0" collapsed="false">
      <c r="B13" s="22" t="s">
        <v>177</v>
      </c>
      <c r="C13" s="3" t="s">
        <v>178</v>
      </c>
      <c r="D13" s="3" t="s">
        <v>179</v>
      </c>
      <c r="E13" s="3" t="s">
        <v>180</v>
      </c>
      <c r="F13" s="3" t="s">
        <v>181</v>
      </c>
    </row>
    <row r="14" customFormat="false" ht="45" hidden="false" customHeight="true" outlineLevel="0" collapsed="false">
      <c r="B14" s="22" t="s">
        <v>182</v>
      </c>
      <c r="C14" s="3" t="s">
        <v>183</v>
      </c>
      <c r="D14" s="3" t="s">
        <v>184</v>
      </c>
      <c r="E14" s="3" t="s">
        <v>185</v>
      </c>
      <c r="F14" s="3" t="s">
        <v>186</v>
      </c>
    </row>
    <row r="15" customFormat="false" ht="60" hidden="false" customHeight="true" outlineLevel="0" collapsed="false">
      <c r="B15" s="22" t="s">
        <v>187</v>
      </c>
      <c r="C15" s="3" t="s">
        <v>188</v>
      </c>
      <c r="D15" s="3" t="s">
        <v>189</v>
      </c>
      <c r="E15" s="3" t="s">
        <v>190</v>
      </c>
      <c r="F15" s="3" t="s">
        <v>191</v>
      </c>
    </row>
    <row r="16" customFormat="false" ht="60" hidden="false" customHeight="true" outlineLevel="0" collapsed="false">
      <c r="B16" s="22" t="s">
        <v>192</v>
      </c>
      <c r="C16" s="3" t="s">
        <v>193</v>
      </c>
      <c r="D16" s="3" t="s">
        <v>194</v>
      </c>
      <c r="E16" s="3" t="s">
        <v>195</v>
      </c>
      <c r="F16" s="3" t="s">
        <v>196</v>
      </c>
    </row>
    <row r="17" customFormat="false" ht="75" hidden="false" customHeight="true" outlineLevel="0" collapsed="false">
      <c r="B17" s="22" t="s">
        <v>197</v>
      </c>
      <c r="C17" s="3" t="s">
        <v>198</v>
      </c>
      <c r="D17" s="3" t="s">
        <v>199</v>
      </c>
      <c r="E17" s="3" t="s">
        <v>200</v>
      </c>
      <c r="F17" s="3" t="s">
        <v>201</v>
      </c>
    </row>
    <row r="18" customFormat="false" ht="45" hidden="false" customHeight="true" outlineLevel="0" collapsed="false">
      <c r="B18" s="22" t="s">
        <v>202</v>
      </c>
      <c r="C18" s="3" t="s">
        <v>203</v>
      </c>
      <c r="D18" s="3" t="s">
        <v>204</v>
      </c>
      <c r="E18" s="3" t="s">
        <v>205</v>
      </c>
      <c r="F18" s="3" t="s">
        <v>206</v>
      </c>
    </row>
    <row r="19" customFormat="false" ht="45" hidden="false" customHeight="true" outlineLevel="0" collapsed="false">
      <c r="B19" s="22" t="s">
        <v>207</v>
      </c>
      <c r="C19" s="3" t="s">
        <v>208</v>
      </c>
      <c r="D19" s="3" t="s">
        <v>209</v>
      </c>
      <c r="E19" s="3" t="s">
        <v>210</v>
      </c>
      <c r="F19" s="3" t="s">
        <v>211</v>
      </c>
    </row>
    <row r="20" customFormat="false" ht="45" hidden="false" customHeight="true" outlineLevel="0" collapsed="false">
      <c r="B20" s="22" t="s">
        <v>212</v>
      </c>
      <c r="C20" s="3" t="s">
        <v>213</v>
      </c>
      <c r="D20" s="3" t="s">
        <v>214</v>
      </c>
      <c r="E20" s="3" t="s">
        <v>215</v>
      </c>
      <c r="F20" s="3" t="s">
        <v>216</v>
      </c>
    </row>
    <row r="21" customFormat="false" ht="45" hidden="false" customHeight="true" outlineLevel="0" collapsed="false">
      <c r="B21" s="22" t="s">
        <v>217</v>
      </c>
      <c r="C21" s="3" t="s">
        <v>218</v>
      </c>
      <c r="D21" s="3" t="s">
        <v>219</v>
      </c>
      <c r="E21" s="3" t="s">
        <v>220</v>
      </c>
      <c r="F21" s="3" t="s">
        <v>221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8"/>
    <col collapsed="false" customWidth="true" hidden="false" outlineLevel="0" max="3" min="3" style="0" width="34"/>
  </cols>
  <sheetData>
    <row r="1" customFormat="false" ht="16.15" hidden="false" customHeight="false" outlineLevel="0" collapsed="false">
      <c r="B1" s="1" t="s">
        <v>222</v>
      </c>
    </row>
    <row r="2" customFormat="false" ht="15" hidden="false" customHeight="false" outlineLevel="0" collapsed="false">
      <c r="B2" s="23" t="s">
        <v>223</v>
      </c>
    </row>
    <row r="4" customFormat="false" ht="15" hidden="false" customHeight="false" outlineLevel="0" collapsed="false">
      <c r="B4" s="12" t="s">
        <v>224</v>
      </c>
      <c r="C4" s="13"/>
    </row>
    <row r="5" customFormat="false" ht="15" hidden="false" customHeight="false" outlineLevel="0" collapsed="false">
      <c r="B5" s="24" t="s">
        <v>225</v>
      </c>
      <c r="C5" s="25" t="n">
        <v>3000000</v>
      </c>
    </row>
    <row r="6" customFormat="false" ht="15" hidden="false" customHeight="false" outlineLevel="0" collapsed="false">
      <c r="B6" s="24" t="s">
        <v>226</v>
      </c>
      <c r="C6" s="26" t="n">
        <f aca="false">Параметры!$C$9</f>
        <v>0.25</v>
      </c>
    </row>
    <row r="7" customFormat="false" ht="15" hidden="false" customHeight="false" outlineLevel="0" collapsed="false">
      <c r="B7" s="24" t="s">
        <v>227</v>
      </c>
      <c r="C7" s="25" t="n">
        <v>400000</v>
      </c>
    </row>
    <row r="8" customFormat="false" ht="15" hidden="false" customHeight="false" outlineLevel="0" collapsed="false">
      <c r="B8" s="24" t="s">
        <v>228</v>
      </c>
      <c r="C8" s="25" t="n">
        <v>250000</v>
      </c>
    </row>
    <row r="9" customFormat="false" ht="15" hidden="false" customHeight="false" outlineLevel="0" collapsed="false">
      <c r="B9" s="24" t="s">
        <v>229</v>
      </c>
      <c r="C9" s="27" t="n">
        <f aca="false">C5*C6</f>
        <v>750000</v>
      </c>
    </row>
    <row r="10" customFormat="false" ht="15" hidden="false" customHeight="false" outlineLevel="0" collapsed="false">
      <c r="B10" s="24" t="s">
        <v>230</v>
      </c>
      <c r="C10" s="27" t="n">
        <f aca="false">MAX(C7,C5*C6)</f>
        <v>750000</v>
      </c>
    </row>
    <row r="11" customFormat="false" ht="15" hidden="false" customHeight="false" outlineLevel="0" collapsed="false">
      <c r="B11" s="24" t="s">
        <v>231</v>
      </c>
      <c r="C11" s="28" t="n">
        <f aca="false">C10-C8</f>
        <v>500000</v>
      </c>
    </row>
    <row r="12" customFormat="false" ht="15" hidden="false" customHeight="false" outlineLevel="0" collapsed="false">
      <c r="B12" s="24" t="s">
        <v>232</v>
      </c>
      <c r="C12" s="27" t="n">
        <f aca="false">IF(C6=0,"",C8/C6)</f>
        <v>1000000</v>
      </c>
    </row>
    <row r="13" customFormat="false" ht="15" hidden="false" customHeight="false" outlineLevel="0" collapsed="false">
      <c r="B13" s="29" t="s">
        <v>233</v>
      </c>
      <c r="C13" s="30" t="str">
        <f aca="false">IF(C11&gt;=0,"Деление выгоднее или равно фиксу","Фикс выгоднее для организатора")</f>
        <v>Деление выгоднее или равно фиксу</v>
      </c>
    </row>
    <row r="16" customFormat="false" ht="15" hidden="false" customHeight="false" outlineLevel="0" collapsed="false">
      <c r="B16" s="12" t="s">
        <v>234</v>
      </c>
      <c r="C16" s="13"/>
    </row>
    <row r="17" customFormat="false" ht="15" hidden="false" customHeight="false" outlineLevel="0" collapsed="false">
      <c r="B17" s="24" t="s">
        <v>225</v>
      </c>
      <c r="C17" s="25" t="n">
        <v>1500000</v>
      </c>
    </row>
    <row r="18" customFormat="false" ht="15" hidden="false" customHeight="false" outlineLevel="0" collapsed="false">
      <c r="B18" s="24" t="s">
        <v>226</v>
      </c>
      <c r="C18" s="26" t="n">
        <f aca="false">Параметры!$C$8</f>
        <v>0.2</v>
      </c>
    </row>
    <row r="19" customFormat="false" ht="15" hidden="false" customHeight="false" outlineLevel="0" collapsed="false">
      <c r="B19" s="24" t="s">
        <v>227</v>
      </c>
      <c r="C19" s="25" t="n">
        <v>200000</v>
      </c>
    </row>
    <row r="20" customFormat="false" ht="15" hidden="false" customHeight="false" outlineLevel="0" collapsed="false">
      <c r="B20" s="24" t="s">
        <v>228</v>
      </c>
      <c r="C20" s="25" t="n">
        <f aca="false">'Матрица 2027'!I9</f>
        <v>310000</v>
      </c>
    </row>
    <row r="21" customFormat="false" ht="15" hidden="false" customHeight="false" outlineLevel="0" collapsed="false">
      <c r="B21" s="24" t="s">
        <v>229</v>
      </c>
      <c r="C21" s="27" t="n">
        <f aca="false">C17*C18</f>
        <v>300000</v>
      </c>
    </row>
    <row r="22" customFormat="false" ht="15" hidden="false" customHeight="false" outlineLevel="0" collapsed="false">
      <c r="B22" s="24" t="s">
        <v>230</v>
      </c>
      <c r="C22" s="27" t="n">
        <f aca="false">MAX(C19,C17*C18)</f>
        <v>300000</v>
      </c>
    </row>
    <row r="23" customFormat="false" ht="15" hidden="false" customHeight="false" outlineLevel="0" collapsed="false">
      <c r="B23" s="24" t="s">
        <v>231</v>
      </c>
      <c r="C23" s="28" t="n">
        <f aca="false">C22-C20</f>
        <v>-10000</v>
      </c>
    </row>
    <row r="24" customFormat="false" ht="15" hidden="false" customHeight="false" outlineLevel="0" collapsed="false">
      <c r="B24" s="24" t="s">
        <v>232</v>
      </c>
      <c r="C24" s="27" t="n">
        <f aca="false">IF(C18=0,"",C20/C18)</f>
        <v>1550000</v>
      </c>
    </row>
    <row r="25" customFormat="false" ht="15" hidden="false" customHeight="false" outlineLevel="0" collapsed="false">
      <c r="B25" s="29" t="s">
        <v>233</v>
      </c>
      <c r="C25" s="30" t="str">
        <f aca="false">IF(C23&gt;=0,"Деление выгоднее или равно фиксу","Фикс выгоднее для организатора")</f>
        <v>Фикс выгоднее для организатора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5" min="3" style="0" width="48"/>
    <col collapsed="false" customWidth="true" hidden="false" outlineLevel="0" max="6" min="6" style="0" width="40"/>
    <col collapsed="false" customWidth="true" hidden="false" outlineLevel="0" max="10" min="8" style="0" width="26"/>
  </cols>
  <sheetData>
    <row r="1" customFormat="false" ht="16.15" hidden="false" customHeight="false" outlineLevel="0" collapsed="false">
      <c r="B1" s="1" t="s">
        <v>235</v>
      </c>
    </row>
    <row r="2" customFormat="false" ht="15" hidden="false" customHeight="false" outlineLevel="0" collapsed="false">
      <c r="B2" s="23" t="s">
        <v>236</v>
      </c>
    </row>
    <row r="4" customFormat="false" ht="15" hidden="false" customHeight="false" outlineLevel="0" collapsed="false">
      <c r="B4" s="11" t="s">
        <v>1</v>
      </c>
      <c r="C4" s="31" t="s">
        <v>237</v>
      </c>
      <c r="D4" s="32" t="s">
        <v>238</v>
      </c>
      <c r="E4" s="33" t="s">
        <v>239</v>
      </c>
      <c r="H4" s="6" t="s">
        <v>240</v>
      </c>
      <c r="I4" s="6" t="s">
        <v>241</v>
      </c>
      <c r="J4" s="6" t="s">
        <v>242</v>
      </c>
    </row>
    <row r="5" customFormat="false" ht="55.5" hidden="false" customHeight="true" outlineLevel="0" collapsed="false">
      <c r="B5" s="22" t="s">
        <v>243</v>
      </c>
      <c r="C5" s="3" t="s">
        <v>244</v>
      </c>
      <c r="D5" s="3" t="s">
        <v>245</v>
      </c>
      <c r="E5" s="3" t="s">
        <v>246</v>
      </c>
      <c r="H5" s="8" t="s">
        <v>49</v>
      </c>
      <c r="I5" s="8" t="s">
        <v>247</v>
      </c>
      <c r="J5" s="8" t="s">
        <v>248</v>
      </c>
    </row>
    <row r="6" customFormat="false" ht="69.75" hidden="false" customHeight="true" outlineLevel="0" collapsed="false">
      <c r="B6" s="22" t="s">
        <v>249</v>
      </c>
      <c r="C6" s="3" t="s">
        <v>250</v>
      </c>
      <c r="D6" s="3" t="s">
        <v>251</v>
      </c>
      <c r="E6" s="3" t="s">
        <v>252</v>
      </c>
      <c r="H6" s="8" t="s">
        <v>57</v>
      </c>
      <c r="I6" s="8" t="s">
        <v>253</v>
      </c>
      <c r="J6" s="8" t="s">
        <v>254</v>
      </c>
    </row>
    <row r="7" customFormat="false" ht="42" hidden="false" customHeight="true" outlineLevel="0" collapsed="false">
      <c r="B7" s="22" t="s">
        <v>255</v>
      </c>
      <c r="C7" s="3" t="s">
        <v>256</v>
      </c>
      <c r="D7" s="3" t="s">
        <v>257</v>
      </c>
      <c r="E7" s="3" t="s">
        <v>258</v>
      </c>
      <c r="H7" s="8" t="s">
        <v>58</v>
      </c>
      <c r="I7" s="8" t="s">
        <v>259</v>
      </c>
      <c r="J7" s="8" t="s">
        <v>260</v>
      </c>
    </row>
    <row r="8" customFormat="false" ht="42" hidden="false" customHeight="true" outlineLevel="0" collapsed="false">
      <c r="B8" s="22" t="s">
        <v>261</v>
      </c>
      <c r="C8" s="3" t="s">
        <v>262</v>
      </c>
      <c r="D8" s="3" t="s">
        <v>263</v>
      </c>
      <c r="E8" s="3" t="s">
        <v>264</v>
      </c>
      <c r="H8" s="8" t="s">
        <v>61</v>
      </c>
      <c r="I8" s="8" t="s">
        <v>265</v>
      </c>
      <c r="J8" s="8" t="s">
        <v>266</v>
      </c>
    </row>
    <row r="9" customFormat="false" ht="55.5" hidden="false" customHeight="true" outlineLevel="0" collapsed="false">
      <c r="B9" s="22" t="s">
        <v>267</v>
      </c>
      <c r="C9" s="3" t="s">
        <v>268</v>
      </c>
      <c r="D9" s="3" t="s">
        <v>269</v>
      </c>
      <c r="E9" s="3" t="s">
        <v>270</v>
      </c>
      <c r="H9" s="8" t="s">
        <v>63</v>
      </c>
      <c r="I9" s="8" t="s">
        <v>271</v>
      </c>
      <c r="J9" s="8" t="s">
        <v>272</v>
      </c>
    </row>
    <row r="10" customFormat="false" ht="30" hidden="false" customHeight="true" outlineLevel="0" collapsed="false">
      <c r="B10" s="22" t="s">
        <v>273</v>
      </c>
      <c r="C10" s="3" t="s">
        <v>274</v>
      </c>
      <c r="D10" s="3" t="s">
        <v>275</v>
      </c>
      <c r="E10" s="3" t="s">
        <v>276</v>
      </c>
      <c r="H10" s="8" t="s">
        <v>68</v>
      </c>
      <c r="I10" s="8" t="s">
        <v>277</v>
      </c>
      <c r="J10" s="8" t="s">
        <v>278</v>
      </c>
    </row>
    <row r="11" customFormat="false" ht="30" hidden="false" customHeight="true" outlineLevel="0" collapsed="false">
      <c r="B11" s="22" t="s">
        <v>279</v>
      </c>
      <c r="C11" s="3" t="s">
        <v>280</v>
      </c>
      <c r="D11" s="3" t="s">
        <v>281</v>
      </c>
      <c r="E11" s="3" t="s">
        <v>282</v>
      </c>
      <c r="H11" s="8" t="s">
        <v>79</v>
      </c>
      <c r="I11" s="8" t="s">
        <v>283</v>
      </c>
    </row>
    <row r="12" customFormat="false" ht="30" hidden="false" customHeight="true" outlineLevel="0" collapsed="false">
      <c r="B12" s="22" t="s">
        <v>284</v>
      </c>
      <c r="C12" s="34"/>
      <c r="D12" s="34"/>
      <c r="E12" s="34"/>
      <c r="H12" s="8" t="s">
        <v>81</v>
      </c>
      <c r="I12" s="8" t="s">
        <v>285</v>
      </c>
    </row>
    <row r="13" customFormat="false" ht="30" hidden="false" customHeight="true" outlineLevel="0" collapsed="false">
      <c r="B13" s="22" t="s">
        <v>286</v>
      </c>
      <c r="C13" s="3" t="s">
        <v>287</v>
      </c>
      <c r="D13" s="3" t="s">
        <v>288</v>
      </c>
      <c r="E13" s="3" t="s">
        <v>289</v>
      </c>
      <c r="H13" s="8" t="s">
        <v>83</v>
      </c>
      <c r="I13" s="8" t="s">
        <v>290</v>
      </c>
    </row>
    <row r="14" customFormat="false" ht="30" hidden="false" customHeight="true" outlineLevel="0" collapsed="false">
      <c r="B14" s="22" t="s">
        <v>291</v>
      </c>
      <c r="C14" s="3" t="s">
        <v>292</v>
      </c>
      <c r="D14" s="3" t="s">
        <v>293</v>
      </c>
      <c r="E14" s="3" t="s">
        <v>294</v>
      </c>
      <c r="H14" s="8" t="s">
        <v>84</v>
      </c>
      <c r="I14" s="8" t="s">
        <v>295</v>
      </c>
    </row>
    <row r="15" customFormat="false" ht="15" hidden="false" customHeight="false" outlineLevel="0" collapsed="false">
      <c r="H15" s="8" t="s">
        <v>85</v>
      </c>
      <c r="I15" s="8" t="s">
        <v>296</v>
      </c>
    </row>
    <row r="16" customFormat="false" ht="15" hidden="false" customHeight="false" outlineLevel="0" collapsed="false">
      <c r="H16" s="8" t="s">
        <v>88</v>
      </c>
      <c r="I16" s="8" t="s">
        <v>297</v>
      </c>
    </row>
    <row r="17" customFormat="false" ht="15" hidden="false" customHeight="false" outlineLevel="0" collapsed="false">
      <c r="B17" s="35" t="s">
        <v>298</v>
      </c>
      <c r="H17" s="8" t="s">
        <v>94</v>
      </c>
      <c r="I17" s="8" t="s">
        <v>299</v>
      </c>
    </row>
    <row r="18" customFormat="false" ht="15" hidden="false" customHeight="false" outlineLevel="0" collapsed="false">
      <c r="B18" s="11" t="s">
        <v>300</v>
      </c>
      <c r="C18" s="11" t="s">
        <v>301</v>
      </c>
      <c r="D18" s="11" t="s">
        <v>302</v>
      </c>
      <c r="E18" s="11" t="s">
        <v>303</v>
      </c>
      <c r="F18" s="11" t="s">
        <v>304</v>
      </c>
      <c r="H18" s="8" t="s">
        <v>97</v>
      </c>
      <c r="I18" s="8" t="s">
        <v>305</v>
      </c>
    </row>
    <row r="19" customFormat="false" ht="15" hidden="false" customHeight="false" outlineLevel="0" collapsed="false">
      <c r="B19" s="3" t="s">
        <v>306</v>
      </c>
      <c r="C19" s="4" t="n">
        <v>0.25</v>
      </c>
      <c r="D19" s="3" t="s">
        <v>307</v>
      </c>
      <c r="E19" s="3" t="s">
        <v>308</v>
      </c>
      <c r="F19" s="3" t="s">
        <v>309</v>
      </c>
      <c r="H19" s="8" t="s">
        <v>100</v>
      </c>
    </row>
    <row r="20" customFormat="false" ht="15" hidden="false" customHeight="false" outlineLevel="0" collapsed="false">
      <c r="B20" s="3" t="s">
        <v>310</v>
      </c>
      <c r="C20" s="4" t="n">
        <v>0.15</v>
      </c>
      <c r="D20" s="3" t="s">
        <v>311</v>
      </c>
      <c r="E20" s="3" t="s">
        <v>312</v>
      </c>
      <c r="F20" s="3" t="s">
        <v>313</v>
      </c>
      <c r="H20" s="8" t="s">
        <v>102</v>
      </c>
    </row>
    <row r="21" customFormat="false" ht="23.85" hidden="false" customHeight="false" outlineLevel="0" collapsed="false">
      <c r="B21" s="3" t="s">
        <v>314</v>
      </c>
      <c r="C21" s="4" t="n">
        <v>0.2</v>
      </c>
      <c r="D21" s="3" t="s">
        <v>315</v>
      </c>
      <c r="E21" s="3" t="s">
        <v>316</v>
      </c>
      <c r="F21" s="3" t="s">
        <v>317</v>
      </c>
      <c r="H21" s="8" t="s">
        <v>111</v>
      </c>
    </row>
    <row r="22" customFormat="false" ht="15" hidden="false" customHeight="false" outlineLevel="0" collapsed="false">
      <c r="B22" s="3" t="s">
        <v>318</v>
      </c>
      <c r="C22" s="4" t="n">
        <v>0.15</v>
      </c>
      <c r="D22" s="3" t="s">
        <v>319</v>
      </c>
      <c r="E22" s="3" t="s">
        <v>320</v>
      </c>
      <c r="F22" s="3" t="s">
        <v>321</v>
      </c>
      <c r="H22" s="8" t="s">
        <v>112</v>
      </c>
    </row>
    <row r="23" customFormat="false" ht="23.85" hidden="false" customHeight="false" outlineLevel="0" collapsed="false">
      <c r="B23" s="3" t="s">
        <v>322</v>
      </c>
      <c r="C23" s="4" t="n">
        <v>0.15</v>
      </c>
      <c r="D23" s="3" t="s">
        <v>323</v>
      </c>
      <c r="E23" s="3" t="s">
        <v>324</v>
      </c>
      <c r="F23" s="3" t="s">
        <v>325</v>
      </c>
      <c r="H23" s="8" t="s">
        <v>113</v>
      </c>
    </row>
    <row r="24" customFormat="false" ht="15" hidden="false" customHeight="false" outlineLevel="0" collapsed="false">
      <c r="B24" s="3" t="s">
        <v>326</v>
      </c>
      <c r="C24" s="4" t="n">
        <v>0.1</v>
      </c>
      <c r="D24" s="3" t="s">
        <v>327</v>
      </c>
      <c r="E24" s="3" t="s">
        <v>328</v>
      </c>
      <c r="F24" s="3" t="s">
        <v>329</v>
      </c>
    </row>
    <row r="25" customFormat="false" ht="15" hidden="false" customHeight="false" outlineLevel="0" collapsed="false">
      <c r="B25" s="6" t="s">
        <v>330</v>
      </c>
      <c r="C25" s="36" t="n">
        <f aca="false">SUM(C19:C24)</f>
        <v>1</v>
      </c>
    </row>
    <row r="27" customFormat="false" ht="15" hidden="false" customHeight="false" outlineLevel="0" collapsed="false">
      <c r="B27" s="24" t="s">
        <v>331</v>
      </c>
      <c r="C27" s="37" t="n">
        <v>4</v>
      </c>
    </row>
    <row r="28" customFormat="false" ht="15" hidden="false" customHeight="false" outlineLevel="0" collapsed="false">
      <c r="B28" s="24" t="s">
        <v>332</v>
      </c>
      <c r="C28" s="37" t="n">
        <v>3</v>
      </c>
    </row>
    <row r="29" customFormat="false" ht="15" hidden="false" customHeight="false" outlineLevel="0" collapsed="false">
      <c r="B29" s="23" t="s">
        <v>333</v>
      </c>
    </row>
    <row r="32" customFormat="false" ht="15" hidden="false" customHeight="false" outlineLevel="0" collapsed="false">
      <c r="B32" s="35" t="s">
        <v>334</v>
      </c>
    </row>
    <row r="33" customFormat="false" ht="15" hidden="false" customHeight="false" outlineLevel="0" collapsed="false">
      <c r="B33" s="11" t="s">
        <v>335</v>
      </c>
      <c r="C33" s="11" t="s">
        <v>336</v>
      </c>
      <c r="D33" s="11" t="s">
        <v>337</v>
      </c>
      <c r="E33" s="11" t="s">
        <v>338</v>
      </c>
    </row>
    <row r="34" customFormat="false" ht="30" hidden="false" customHeight="true" outlineLevel="0" collapsed="false">
      <c r="B34" s="22" t="s">
        <v>339</v>
      </c>
      <c r="C34" s="3" t="s">
        <v>340</v>
      </c>
      <c r="D34" s="3" t="s">
        <v>341</v>
      </c>
      <c r="E34" s="3" t="s">
        <v>342</v>
      </c>
    </row>
    <row r="35" customFormat="false" ht="30" hidden="false" customHeight="true" outlineLevel="0" collapsed="false">
      <c r="B35" s="22" t="s">
        <v>343</v>
      </c>
      <c r="C35" s="3" t="s">
        <v>344</v>
      </c>
      <c r="D35" s="3" t="s">
        <v>345</v>
      </c>
      <c r="E35" s="3" t="s">
        <v>346</v>
      </c>
    </row>
    <row r="36" customFormat="false" ht="30" hidden="false" customHeight="true" outlineLevel="0" collapsed="false">
      <c r="B36" s="22" t="s">
        <v>347</v>
      </c>
      <c r="C36" s="3" t="s">
        <v>348</v>
      </c>
      <c r="D36" s="3" t="s">
        <v>349</v>
      </c>
      <c r="E36" s="3" t="s">
        <v>54</v>
      </c>
    </row>
    <row r="37" customFormat="false" ht="30" hidden="false" customHeight="true" outlineLevel="0" collapsed="false">
      <c r="B37" s="22" t="s">
        <v>350</v>
      </c>
      <c r="C37" s="3" t="s">
        <v>351</v>
      </c>
      <c r="D37" s="3" t="s">
        <v>352</v>
      </c>
      <c r="E37" s="3" t="s">
        <v>353</v>
      </c>
    </row>
    <row r="38" customFormat="false" ht="30" hidden="false" customHeight="true" outlineLevel="0" collapsed="false">
      <c r="B38" s="22" t="s">
        <v>354</v>
      </c>
      <c r="C38" s="3" t="s">
        <v>355</v>
      </c>
      <c r="D38" s="3" t="s">
        <v>356</v>
      </c>
      <c r="E38" s="3" t="s">
        <v>357</v>
      </c>
    </row>
    <row r="39" customFormat="false" ht="30" hidden="false" customHeight="true" outlineLevel="0" collapsed="false">
      <c r="B39" s="22" t="s">
        <v>358</v>
      </c>
      <c r="C39" s="3" t="s">
        <v>359</v>
      </c>
      <c r="D39" s="3" t="s">
        <v>360</v>
      </c>
      <c r="E39" s="3" t="s">
        <v>361</v>
      </c>
    </row>
    <row r="40" customFormat="false" ht="15" hidden="false" customHeight="false" outlineLevel="0" collapsed="false">
      <c r="B40" s="23" t="s">
        <v>362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6" min="3" style="0" width="12"/>
    <col collapsed="false" customWidth="true" hidden="false" outlineLevel="0" max="7" min="7" style="0" width="13"/>
    <col collapsed="false" customWidth="true" hidden="false" outlineLevel="0" max="9" min="8" style="0" width="12"/>
    <col collapsed="false" customWidth="true" hidden="false" outlineLevel="0" max="10" min="10" style="0" width="17"/>
    <col collapsed="false" customWidth="true" hidden="false" outlineLevel="0" max="12" min="11" style="0" width="12"/>
    <col collapsed="false" customWidth="true" hidden="false" outlineLevel="0" max="13" min="13" style="0" width="13"/>
    <col collapsed="false" customWidth="true" hidden="false" outlineLevel="0" max="14" min="14" style="0" width="12"/>
  </cols>
  <sheetData>
    <row r="1" customFormat="false" ht="16.15" hidden="false" customHeight="false" outlineLevel="0" collapsed="false">
      <c r="B1" s="1" t="s">
        <v>363</v>
      </c>
    </row>
    <row r="2" customFormat="false" ht="15" hidden="false" customHeight="false" outlineLevel="0" collapsed="false">
      <c r="B2" s="23" t="s">
        <v>364</v>
      </c>
    </row>
    <row r="4" customFormat="false" ht="15" hidden="false" customHeight="false" outlineLevel="0" collapsed="false">
      <c r="B4" s="35" t="s">
        <v>365</v>
      </c>
    </row>
    <row r="5" customFormat="false" ht="42" hidden="false" customHeight="true" outlineLevel="0" collapsed="false">
      <c r="B5" s="11" t="s">
        <v>366</v>
      </c>
      <c r="C5" s="11" t="s">
        <v>367</v>
      </c>
      <c r="D5" s="11" t="s">
        <v>368</v>
      </c>
      <c r="E5" s="11" t="s">
        <v>369</v>
      </c>
      <c r="F5" s="11" t="s">
        <v>370</v>
      </c>
      <c r="G5" s="11" t="s">
        <v>371</v>
      </c>
      <c r="H5" s="11" t="s">
        <v>372</v>
      </c>
      <c r="I5" s="11" t="s">
        <v>373</v>
      </c>
      <c r="J5" s="11" t="s">
        <v>374</v>
      </c>
      <c r="K5" s="11" t="s">
        <v>375</v>
      </c>
      <c r="L5" s="11" t="s">
        <v>376</v>
      </c>
      <c r="M5" s="11" t="s">
        <v>377</v>
      </c>
      <c r="N5" s="11" t="s">
        <v>378</v>
      </c>
    </row>
    <row r="6" customFormat="false" ht="15" hidden="false" customHeight="false" outlineLevel="0" collapsed="false">
      <c r="B6" s="24" t="s">
        <v>379</v>
      </c>
      <c r="C6" s="38" t="n">
        <v>3</v>
      </c>
      <c r="D6" s="38" t="n">
        <v>13</v>
      </c>
      <c r="E6" s="38" t="n">
        <v>4</v>
      </c>
      <c r="F6" s="39" t="n">
        <f aca="false">SUM(C6:E6)</f>
        <v>20</v>
      </c>
      <c r="G6" s="38"/>
      <c r="H6" s="40" t="str">
        <f aca="false">IF(G6="","",G6-F6)</f>
        <v/>
      </c>
      <c r="I6" s="38" t="n">
        <v>2</v>
      </c>
      <c r="J6" s="38" t="n">
        <v>10</v>
      </c>
      <c r="K6" s="38" t="n">
        <v>3</v>
      </c>
      <c r="L6" s="39" t="n">
        <f aca="false">SUM(I6:K6)</f>
        <v>15</v>
      </c>
      <c r="M6" s="38"/>
      <c r="N6" s="40" t="str">
        <f aca="false">IF(M6="","",M6-L6)</f>
        <v/>
      </c>
    </row>
    <row r="7" customFormat="false" ht="15" hidden="false" customHeight="false" outlineLevel="0" collapsed="false">
      <c r="B7" s="24" t="s">
        <v>380</v>
      </c>
      <c r="C7" s="38" t="n">
        <v>2</v>
      </c>
      <c r="D7" s="38" t="n">
        <v>2</v>
      </c>
      <c r="E7" s="38" t="n">
        <v>0</v>
      </c>
      <c r="F7" s="39" t="n">
        <f aca="false">SUM(C7:E7)</f>
        <v>4</v>
      </c>
      <c r="G7" s="38"/>
      <c r="H7" s="40" t="str">
        <f aca="false">IF(G7="","",G7-F7)</f>
        <v/>
      </c>
      <c r="I7" s="38" t="n">
        <v>2</v>
      </c>
      <c r="J7" s="38" t="n">
        <v>1</v>
      </c>
      <c r="K7" s="38" t="n">
        <v>0</v>
      </c>
      <c r="L7" s="39" t="n">
        <f aca="false">SUM(I7:K7)</f>
        <v>3</v>
      </c>
      <c r="M7" s="38"/>
      <c r="N7" s="40" t="str">
        <f aca="false">IF(M7="","",M7-L7)</f>
        <v/>
      </c>
    </row>
    <row r="8" customFormat="false" ht="15" hidden="false" customHeight="false" outlineLevel="0" collapsed="false">
      <c r="B8" s="24" t="s">
        <v>68</v>
      </c>
      <c r="C8" s="38" t="n">
        <v>0</v>
      </c>
      <c r="D8" s="38" t="n">
        <v>0</v>
      </c>
      <c r="E8" s="38" t="n">
        <v>0</v>
      </c>
      <c r="F8" s="39" t="n">
        <f aca="false">SUM(C8:E8)</f>
        <v>0</v>
      </c>
      <c r="G8" s="38"/>
      <c r="H8" s="40" t="str">
        <f aca="false">IF(G8="","",G8-F8)</f>
        <v/>
      </c>
      <c r="I8" s="38" t="n">
        <v>0</v>
      </c>
      <c r="J8" s="38" t="n">
        <v>2</v>
      </c>
      <c r="K8" s="38" t="n">
        <v>1</v>
      </c>
      <c r="L8" s="39" t="n">
        <f aca="false">SUM(I8:K8)</f>
        <v>3</v>
      </c>
      <c r="M8" s="38"/>
      <c r="N8" s="40" t="str">
        <f aca="false">IF(M8="","",M8-L8)</f>
        <v/>
      </c>
    </row>
    <row r="9" customFormat="false" ht="15" hidden="false" customHeight="false" outlineLevel="0" collapsed="false">
      <c r="B9" s="24" t="s">
        <v>94</v>
      </c>
      <c r="C9" s="38" t="n">
        <v>0</v>
      </c>
      <c r="D9" s="38" t="n">
        <v>1</v>
      </c>
      <c r="E9" s="38" t="n">
        <v>0</v>
      </c>
      <c r="F9" s="39" t="n">
        <f aca="false">SUM(C9:E9)</f>
        <v>1</v>
      </c>
      <c r="G9" s="38"/>
      <c r="H9" s="40" t="str">
        <f aca="false">IF(G9="","",G9-F9)</f>
        <v/>
      </c>
      <c r="I9" s="38" t="n">
        <v>0</v>
      </c>
      <c r="J9" s="38" t="n">
        <v>1</v>
      </c>
      <c r="K9" s="38" t="n">
        <v>0</v>
      </c>
      <c r="L9" s="39" t="n">
        <f aca="false">SUM(I9:K9)</f>
        <v>1</v>
      </c>
      <c r="M9" s="38"/>
      <c r="N9" s="40" t="str">
        <f aca="false">IF(M9="","",M9-L9)</f>
        <v/>
      </c>
    </row>
    <row r="10" customFormat="false" ht="15" hidden="false" customHeight="false" outlineLevel="0" collapsed="false">
      <c r="B10" s="24" t="s">
        <v>100</v>
      </c>
      <c r="C10" s="38" t="n">
        <v>0</v>
      </c>
      <c r="D10" s="38" t="n">
        <v>1</v>
      </c>
      <c r="E10" s="38" t="n">
        <v>5</v>
      </c>
      <c r="F10" s="39" t="n">
        <f aca="false">SUM(C10:E10)</f>
        <v>6</v>
      </c>
      <c r="G10" s="38"/>
      <c r="H10" s="40" t="str">
        <f aca="false">IF(G10="","",G10-F10)</f>
        <v/>
      </c>
      <c r="I10" s="38" t="n">
        <v>0</v>
      </c>
      <c r="J10" s="38" t="n">
        <v>1</v>
      </c>
      <c r="K10" s="38" t="n">
        <v>4</v>
      </c>
      <c r="L10" s="39" t="n">
        <f aca="false">SUM(I10:K10)</f>
        <v>5</v>
      </c>
      <c r="M10" s="38"/>
      <c r="N10" s="40" t="str">
        <f aca="false">IF(M10="","",M10-L10)</f>
        <v/>
      </c>
    </row>
    <row r="11" customFormat="false" ht="15" hidden="false" customHeight="false" outlineLevel="0" collapsed="false">
      <c r="B11" s="24" t="s">
        <v>97</v>
      </c>
      <c r="C11" s="38" t="n">
        <v>0</v>
      </c>
      <c r="D11" s="38" t="n">
        <v>0</v>
      </c>
      <c r="E11" s="38" t="n">
        <v>2</v>
      </c>
      <c r="F11" s="39" t="n">
        <f aca="false">SUM(C11:E11)</f>
        <v>2</v>
      </c>
      <c r="G11" s="38"/>
      <c r="H11" s="40" t="str">
        <f aca="false">IF(G11="","",G11-F11)</f>
        <v/>
      </c>
      <c r="I11" s="38" t="n">
        <v>0</v>
      </c>
      <c r="J11" s="38" t="n">
        <v>0</v>
      </c>
      <c r="K11" s="38" t="n">
        <v>1</v>
      </c>
      <c r="L11" s="39" t="n">
        <f aca="false">SUM(I11:K11)</f>
        <v>1</v>
      </c>
      <c r="M11" s="38"/>
      <c r="N11" s="40" t="str">
        <f aca="false">IF(M11="","",M11-L11)</f>
        <v/>
      </c>
    </row>
    <row r="12" customFormat="false" ht="15" hidden="false" customHeight="false" outlineLevel="0" collapsed="false">
      <c r="B12" s="24" t="s">
        <v>113</v>
      </c>
      <c r="C12" s="38" t="n">
        <v>0</v>
      </c>
      <c r="D12" s="38" t="n">
        <v>0</v>
      </c>
      <c r="E12" s="38" t="n">
        <v>2</v>
      </c>
      <c r="F12" s="39" t="n">
        <f aca="false">SUM(C12:E12)</f>
        <v>2</v>
      </c>
      <c r="G12" s="38"/>
      <c r="H12" s="40" t="str">
        <f aca="false">IF(G12="","",G12-F12)</f>
        <v/>
      </c>
      <c r="I12" s="38" t="n">
        <v>0</v>
      </c>
      <c r="J12" s="38" t="n">
        <v>0</v>
      </c>
      <c r="K12" s="38" t="n">
        <v>2</v>
      </c>
      <c r="L12" s="39" t="n">
        <f aca="false">SUM(I12:K12)</f>
        <v>2</v>
      </c>
      <c r="M12" s="38"/>
      <c r="N12" s="40" t="str">
        <f aca="false">IF(M12="","",M12-L12)</f>
        <v/>
      </c>
    </row>
    <row r="13" customFormat="false" ht="15" hidden="false" customHeight="false" outlineLevel="0" collapsed="false">
      <c r="B13" s="24" t="s">
        <v>381</v>
      </c>
      <c r="C13" s="38" t="n">
        <v>1</v>
      </c>
      <c r="D13" s="38" t="n">
        <v>0</v>
      </c>
      <c r="E13" s="38" t="n">
        <v>0</v>
      </c>
      <c r="F13" s="39" t="n">
        <f aca="false">SUM(C13:E13)</f>
        <v>1</v>
      </c>
      <c r="G13" s="38"/>
      <c r="H13" s="40" t="str">
        <f aca="false">IF(G13="","",G13-F13)</f>
        <v/>
      </c>
      <c r="I13" s="38" t="n">
        <v>1</v>
      </c>
      <c r="J13" s="38" t="n">
        <v>0</v>
      </c>
      <c r="K13" s="38" t="n">
        <v>0</v>
      </c>
      <c r="L13" s="39" t="n">
        <f aca="false">SUM(I13:K13)</f>
        <v>1</v>
      </c>
      <c r="M13" s="38"/>
      <c r="N13" s="40" t="str">
        <f aca="false">IF(M13="","",M13-L13)</f>
        <v/>
      </c>
    </row>
    <row r="14" customFormat="false" ht="15" hidden="false" customHeight="false" outlineLevel="0" collapsed="false">
      <c r="B14" s="24" t="s">
        <v>382</v>
      </c>
      <c r="C14" s="38" t="n">
        <v>1</v>
      </c>
      <c r="D14" s="38" t="n">
        <v>0</v>
      </c>
      <c r="E14" s="38" t="n">
        <v>0</v>
      </c>
      <c r="F14" s="39" t="n">
        <f aca="false">SUM(C14:E14)</f>
        <v>1</v>
      </c>
      <c r="G14" s="38"/>
      <c r="H14" s="40" t="str">
        <f aca="false">IF(G14="","",G14-F14)</f>
        <v/>
      </c>
      <c r="I14" s="38" t="n">
        <v>1</v>
      </c>
      <c r="J14" s="38" t="n">
        <v>0</v>
      </c>
      <c r="K14" s="38" t="n">
        <v>0</v>
      </c>
      <c r="L14" s="39" t="n">
        <f aca="false">SUM(I14:K14)</f>
        <v>1</v>
      </c>
      <c r="M14" s="38"/>
      <c r="N14" s="40" t="str">
        <f aca="false">IF(M14="","",M14-L14)</f>
        <v/>
      </c>
    </row>
    <row r="15" customFormat="false" ht="15" hidden="false" customHeight="false" outlineLevel="0" collapsed="false">
      <c r="B15" s="18" t="s">
        <v>383</v>
      </c>
      <c r="C15" s="18" t="n">
        <f aca="false">SUM(C6:C14)</f>
        <v>7</v>
      </c>
      <c r="D15" s="18" t="n">
        <f aca="false">SUM(D6:D14)</f>
        <v>17</v>
      </c>
      <c r="E15" s="18" t="n">
        <f aca="false">SUM(E6:E14)</f>
        <v>13</v>
      </c>
      <c r="F15" s="18" t="n">
        <f aca="false">SUM(F6:F14)</f>
        <v>37</v>
      </c>
      <c r="G15" s="18" t="n">
        <f aca="false">SUM(G6:G14)</f>
        <v>0</v>
      </c>
      <c r="H15" s="18" t="str">
        <f aca="false">IF(COUNT(H6:H14)=0,"",SUM(H6:H14))</f>
        <v/>
      </c>
      <c r="I15" s="18" t="n">
        <f aca="false">SUM(I6:I14)</f>
        <v>6</v>
      </c>
      <c r="J15" s="18" t="n">
        <f aca="false">SUM(J6:J14)</f>
        <v>15</v>
      </c>
      <c r="K15" s="18" t="n">
        <f aca="false">SUM(K6:K14)</f>
        <v>11</v>
      </c>
      <c r="L15" s="18" t="n">
        <f aca="false">SUM(L6:L14)</f>
        <v>32</v>
      </c>
      <c r="M15" s="18" t="n">
        <f aca="false">SUM(M6:M14)</f>
        <v>0</v>
      </c>
      <c r="N15" s="18" t="str">
        <f aca="false">IF(COUNT(N6:N14)=0,"",SUM(N6:N14))</f>
        <v/>
      </c>
    </row>
    <row r="16" customFormat="false" ht="15" hidden="false" customHeight="false" outlineLevel="0" collapsed="false">
      <c r="B16" s="41" t="s">
        <v>384</v>
      </c>
      <c r="C16" s="42" t="n">
        <f aca="false">IF(F15=0,0,C15/F15)</f>
        <v>0.189189189189189</v>
      </c>
      <c r="D16" s="42" t="n">
        <f aca="false">IF(F15=0,0,D15/F15)</f>
        <v>0.45945945945946</v>
      </c>
      <c r="E16" s="42" t="n">
        <f aca="false">IF(F15=0,0,E15/F15)</f>
        <v>0.351351351351351</v>
      </c>
      <c r="F16" s="19"/>
      <c r="G16" s="19"/>
      <c r="H16" s="19"/>
      <c r="I16" s="42" t="n">
        <f aca="false">IF(L15=0,0,I15/L15)</f>
        <v>0.1875</v>
      </c>
      <c r="J16" s="42" t="n">
        <f aca="false">IF(L15=0,0,J15/L15)</f>
        <v>0.46875</v>
      </c>
      <c r="K16" s="42" t="n">
        <f aca="false">IF(L15=0,0,K15/L15)</f>
        <v>0.34375</v>
      </c>
      <c r="L16" s="19"/>
      <c r="M16" s="19"/>
      <c r="N16" s="19"/>
    </row>
    <row r="17" customFormat="false" ht="15" hidden="false" customHeight="false" outlineLevel="0" collapsed="false">
      <c r="B17" s="23" t="s">
        <v>385</v>
      </c>
    </row>
    <row r="19" customFormat="false" ht="15" hidden="false" customHeight="false" outlineLevel="0" collapsed="false">
      <c r="B19" s="35" t="s">
        <v>386</v>
      </c>
    </row>
    <row r="20" customFormat="false" ht="31.5" hidden="false" customHeight="true" outlineLevel="0" collapsed="false">
      <c r="B20" s="11" t="s">
        <v>387</v>
      </c>
      <c r="C20" s="11" t="s">
        <v>388</v>
      </c>
      <c r="D20" s="11" t="s">
        <v>389</v>
      </c>
      <c r="E20" s="11" t="s">
        <v>390</v>
      </c>
      <c r="F20" s="11" t="s">
        <v>391</v>
      </c>
      <c r="G20" s="11" t="s">
        <v>392</v>
      </c>
      <c r="H20" s="11" t="s">
        <v>393</v>
      </c>
      <c r="I20" s="11" t="s">
        <v>394</v>
      </c>
      <c r="J20" s="11" t="s">
        <v>395</v>
      </c>
      <c r="K20" s="11" t="s">
        <v>396</v>
      </c>
    </row>
    <row r="21" customFormat="false" ht="15" hidden="false" customHeight="false" outlineLevel="0" collapsed="false">
      <c r="B21" s="43" t="s">
        <v>336</v>
      </c>
      <c r="C21" s="39" t="n">
        <f aca="false">C15</f>
        <v>7</v>
      </c>
      <c r="D21" s="39" t="n">
        <f aca="false">COUNTIFS('Резиденты — лонг-лист'!$Q$5:$Q$204,"A",'Резиденты — лонг-лист'!$D$5:$D$204,"Москва",'Резиденты — лонг-лист'!$S$5:$S$204,"Подписан")+COUNTIFS('Резиденты — лонг-лист'!$Q$5:$Q$204,"A",'Резиденты — лонг-лист'!$D$5:$D$204,"Москва",'Резиденты — лонг-лист'!$S$5:$S$204,"Оплачен")+COUNTIFS('Резиденты — лонг-лист'!$Q$5:$Q$204,"A",'Резиденты — лонг-лист'!$D$5:$D$204,"Комбо (1+2)",'Резиденты — лонг-лист'!$S$5:$S$204,"Подписан")+COUNTIFS('Резиденты — лонг-лист'!$Q$5:$Q$204,"A",'Резиденты — лонг-лист'!$D$5:$D$204,"Комбо (1+2)",'Резиденты — лонг-лист'!$S$5:$S$204,"Оплачен")</f>
        <v>0</v>
      </c>
      <c r="E21" s="44" t="n">
        <f aca="false">IF(C21=0,"",D21/C21)</f>
        <v>0</v>
      </c>
      <c r="F21" s="39" t="n">
        <f aca="false">I15</f>
        <v>6</v>
      </c>
      <c r="G21" s="39" t="n">
        <f aca="false">COUNTIFS('Резиденты — лонг-лист'!$Q$5:$Q$204,"A",'Резиденты — лонг-лист'!$D$5:$D$204,"Санкт-Петербург",'Резиденты — лонг-лист'!$S$5:$S$204,"Подписан")+COUNTIFS('Резиденты — лонг-лист'!$Q$5:$Q$204,"A",'Резиденты — лонг-лист'!$D$5:$D$204,"Санкт-Петербург",'Резиденты — лонг-лист'!$S$5:$S$204,"Оплачен")+COUNTIFS('Резиденты — лонг-лист'!$Q$5:$Q$204,"A",'Резиденты — лонг-лист'!$D$5:$D$204,"Комбо (1+2)",'Резиденты — лонг-лист'!$S$5:$S$204,"Подписан")+COUNTIFS('Резиденты — лонг-лист'!$Q$5:$Q$204,"A",'Резиденты — лонг-лист'!$D$5:$D$204,"Комбо (1+2)",'Резиденты — лонг-лист'!$S$5:$S$204,"Оплачен")</f>
        <v>0</v>
      </c>
      <c r="H21" s="44" t="n">
        <f aca="false">IF(F21=0,"",G21/F21)</f>
        <v>0</v>
      </c>
      <c r="I21" s="39" t="n">
        <f aca="false">COUNTIFS('Резиденты — лонг-лист'!$Q$5:$Q$204,"A",'Резиденты — лонг-лист'!$S$5:$S$204,"Переговоры")+COUNTIFS('Резиденты — лонг-лист'!$Q$5:$Q$204,"A",'Резиденты — лонг-лист'!$S$5:$S$204,"КП отправлено")</f>
        <v>1</v>
      </c>
      <c r="J21" s="45" t="n">
        <f aca="false">SUMIFS('Резиденты — лонг-лист'!$U$5:$U$204,'Резиденты — лонг-лист'!$Q$5:$Q$204,"A",'Резиденты — лонг-лист'!$S$5:$S$204,"Подписан")+SUMIFS('Резиденты — лонг-лист'!$U$5:$U$204,'Резиденты — лонг-лист'!$Q$5:$Q$204,"A",'Резиденты — лонг-лист'!$S$5:$S$204,"Оплачен")</f>
        <v>0</v>
      </c>
      <c r="K21" s="39" t="n">
        <f aca="false">COUNTIFS('Резиденты — лонг-лист'!$Q$5:$Q$204,"A",'Резиденты — лонг-лист'!$S$5:$S$204,"Отказ")</f>
        <v>0</v>
      </c>
    </row>
    <row r="22" customFormat="false" ht="15" hidden="false" customHeight="false" outlineLevel="0" collapsed="false">
      <c r="B22" s="46" t="s">
        <v>337</v>
      </c>
      <c r="C22" s="39" t="n">
        <f aca="false">D15</f>
        <v>17</v>
      </c>
      <c r="D22" s="39" t="n">
        <f aca="false">COUNTIFS('Резиденты — лонг-лист'!$Q$5:$Q$204,"B",'Резиденты — лонг-лист'!$D$5:$D$204,"Москва",'Резиденты — лонг-лист'!$S$5:$S$204,"Подписан")+COUNTIFS('Резиденты — лонг-лист'!$Q$5:$Q$204,"B",'Резиденты — лонг-лист'!$D$5:$D$204,"Москва",'Резиденты — лонг-лист'!$S$5:$S$204,"Оплачен")+COUNTIFS('Резиденты — лонг-лист'!$Q$5:$Q$204,"B",'Резиденты — лонг-лист'!$D$5:$D$204,"Комбо (1+2)",'Резиденты — лонг-лист'!$S$5:$S$204,"Подписан")+COUNTIFS('Резиденты — лонг-лист'!$Q$5:$Q$204,"B",'Резиденты — лонг-лист'!$D$5:$D$204,"Комбо (1+2)",'Резиденты — лонг-лист'!$S$5:$S$204,"Оплачен")</f>
        <v>0</v>
      </c>
      <c r="E22" s="44" t="n">
        <f aca="false">IF(C22=0,"",D22/C22)</f>
        <v>0</v>
      </c>
      <c r="F22" s="39" t="n">
        <f aca="false">J15</f>
        <v>15</v>
      </c>
      <c r="G22" s="39" t="n">
        <f aca="false">COUNTIFS('Резиденты — лонг-лист'!$Q$5:$Q$204,"B",'Резиденты — лонг-лист'!$D$5:$D$204,"Санкт-Петербург",'Резиденты — лонг-лист'!$S$5:$S$204,"Подписан")+COUNTIFS('Резиденты — лонг-лист'!$Q$5:$Q$204,"B",'Резиденты — лонг-лист'!$D$5:$D$204,"Санкт-Петербург",'Резиденты — лонг-лист'!$S$5:$S$204,"Оплачен")+COUNTIFS('Резиденты — лонг-лист'!$Q$5:$Q$204,"B",'Резиденты — лонг-лист'!$D$5:$D$204,"Комбо (1+2)",'Резиденты — лонг-лист'!$S$5:$S$204,"Подписан")+COUNTIFS('Резиденты — лонг-лист'!$Q$5:$Q$204,"B",'Резиденты — лонг-лист'!$D$5:$D$204,"Комбо (1+2)",'Резиденты — лонг-лист'!$S$5:$S$204,"Оплачен")</f>
        <v>0</v>
      </c>
      <c r="H22" s="44" t="n">
        <f aca="false">IF(F22=0,"",G22/F22)</f>
        <v>0</v>
      </c>
      <c r="I22" s="39" t="n">
        <f aca="false">COUNTIFS('Резиденты — лонг-лист'!$Q$5:$Q$204,"B",'Резиденты — лонг-лист'!$S$5:$S$204,"Переговоры")+COUNTIFS('Резиденты — лонг-лист'!$Q$5:$Q$204,"B",'Резиденты — лонг-лист'!$S$5:$S$204,"КП отправлено")</f>
        <v>0</v>
      </c>
      <c r="J22" s="45" t="n">
        <f aca="false">SUMIFS('Резиденты — лонг-лист'!$U$5:$U$204,'Резиденты — лонг-лист'!$Q$5:$Q$204,"B",'Резиденты — лонг-лист'!$S$5:$S$204,"Подписан")+SUMIFS('Резиденты — лонг-лист'!$U$5:$U$204,'Резиденты — лонг-лист'!$Q$5:$Q$204,"B",'Резиденты — лонг-лист'!$S$5:$S$204,"Оплачен")</f>
        <v>0</v>
      </c>
      <c r="K22" s="39" t="n">
        <f aca="false">COUNTIFS('Резиденты — лонг-лист'!$Q$5:$Q$204,"B",'Резиденты — лонг-лист'!$S$5:$S$204,"Отказ")</f>
        <v>0</v>
      </c>
    </row>
    <row r="23" customFormat="false" ht="15" hidden="false" customHeight="false" outlineLevel="0" collapsed="false">
      <c r="B23" s="47" t="s">
        <v>338</v>
      </c>
      <c r="C23" s="39" t="n">
        <f aca="false">E15</f>
        <v>13</v>
      </c>
      <c r="D23" s="39" t="n">
        <f aca="false">COUNTIFS('Резиденты — лонг-лист'!$Q$5:$Q$204,"C",'Резиденты — лонг-лист'!$D$5:$D$204,"Москва",'Резиденты — лонг-лист'!$S$5:$S$204,"Подписан")+COUNTIFS('Резиденты — лонг-лист'!$Q$5:$Q$204,"C",'Резиденты — лонг-лист'!$D$5:$D$204,"Москва",'Резиденты — лонг-лист'!$S$5:$S$204,"Оплачен")+COUNTIFS('Резиденты — лонг-лист'!$Q$5:$Q$204,"C",'Резиденты — лонг-лист'!$D$5:$D$204,"Комбо (1+2)",'Резиденты — лонг-лист'!$S$5:$S$204,"Подписан")+COUNTIFS('Резиденты — лонг-лист'!$Q$5:$Q$204,"C",'Резиденты — лонг-лист'!$D$5:$D$204,"Комбо (1+2)",'Резиденты — лонг-лист'!$S$5:$S$204,"Оплачен")</f>
        <v>0</v>
      </c>
      <c r="E23" s="44" t="n">
        <f aca="false">IF(C23=0,"",D23/C23)</f>
        <v>0</v>
      </c>
      <c r="F23" s="39" t="n">
        <f aca="false">K15</f>
        <v>11</v>
      </c>
      <c r="G23" s="39" t="n">
        <f aca="false">COUNTIFS('Резиденты — лонг-лист'!$Q$5:$Q$204,"C",'Резиденты — лонг-лист'!$D$5:$D$204,"Санкт-Петербург",'Резиденты — лонг-лист'!$S$5:$S$204,"Подписан")+COUNTIFS('Резиденты — лонг-лист'!$Q$5:$Q$204,"C",'Резиденты — лонг-лист'!$D$5:$D$204,"Санкт-Петербург",'Резиденты — лонг-лист'!$S$5:$S$204,"Оплачен")+COUNTIFS('Резиденты — лонг-лист'!$Q$5:$Q$204,"C",'Резиденты — лонг-лист'!$D$5:$D$204,"Комбо (1+2)",'Резиденты — лонг-лист'!$S$5:$S$204,"Подписан")+COUNTIFS('Резиденты — лонг-лист'!$Q$5:$Q$204,"C",'Резиденты — лонг-лист'!$D$5:$D$204,"Комбо (1+2)",'Резиденты — лонг-лист'!$S$5:$S$204,"Оплачен")</f>
        <v>0</v>
      </c>
      <c r="H23" s="44" t="n">
        <f aca="false">IF(F23=0,"",G23/F23)</f>
        <v>0</v>
      </c>
      <c r="I23" s="39" t="n">
        <f aca="false">COUNTIFS('Резиденты — лонг-лист'!$Q$5:$Q$204,"C",'Резиденты — лонг-лист'!$S$5:$S$204,"Переговоры")+COUNTIFS('Резиденты — лонг-лист'!$Q$5:$Q$204,"C",'Резиденты — лонг-лист'!$S$5:$S$204,"КП отправлено")</f>
        <v>0</v>
      </c>
      <c r="J23" s="45" t="n">
        <f aca="false">SUMIFS('Резиденты — лонг-лист'!$U$5:$U$204,'Резиденты — лонг-лист'!$Q$5:$Q$204,"C",'Резиденты — лонг-лист'!$S$5:$S$204,"Подписан")+SUMIFS('Резиденты — лонг-лист'!$U$5:$U$204,'Резиденты — лонг-лист'!$Q$5:$Q$204,"C",'Резиденты — лонг-лист'!$S$5:$S$204,"Оплачен")</f>
        <v>0</v>
      </c>
      <c r="K23" s="39" t="n">
        <f aca="false">COUNTIFS('Резиденты — лонг-лист'!$Q$5:$Q$204,"C",'Резиденты — лонг-лист'!$S$5:$S$204,"Отказ")</f>
        <v>0</v>
      </c>
    </row>
    <row r="24" customFormat="false" ht="15" hidden="false" customHeight="false" outlineLevel="0" collapsed="false">
      <c r="B24" s="18" t="s">
        <v>383</v>
      </c>
      <c r="C24" s="18" t="n">
        <f aca="false">SUM(C21:C23)</f>
        <v>37</v>
      </c>
      <c r="D24" s="18" t="n">
        <f aca="false">SUM(D21:D23)</f>
        <v>0</v>
      </c>
      <c r="E24" s="42" t="n">
        <f aca="false">IF(C24=0,"",D24/C24)</f>
        <v>0</v>
      </c>
      <c r="F24" s="18" t="n">
        <f aca="false">SUM(F21:F23)</f>
        <v>32</v>
      </c>
      <c r="G24" s="18" t="n">
        <f aca="false">SUM(G21:G23)</f>
        <v>0</v>
      </c>
      <c r="H24" s="42" t="n">
        <f aca="false">IF(F24=0,"",G24/F24)</f>
        <v>0</v>
      </c>
      <c r="I24" s="18" t="n">
        <f aca="false">SUM(I21:I23)</f>
        <v>1</v>
      </c>
      <c r="J24" s="20" t="n">
        <f aca="false">SUM(J21:J23)</f>
        <v>0</v>
      </c>
      <c r="K24" s="18" t="n">
        <f aca="false">SUM(K21:K23)</f>
        <v>0</v>
      </c>
    </row>
    <row r="25" customFormat="false" ht="15" hidden="false" customHeight="false" outlineLevel="0" collapsed="false">
      <c r="B25" s="23" t="s">
        <v>397</v>
      </c>
    </row>
    <row r="27" customFormat="false" ht="15" hidden="false" customHeight="false" outlineLevel="0" collapsed="false">
      <c r="B27" s="35" t="s">
        <v>398</v>
      </c>
    </row>
    <row r="28" customFormat="false" ht="15" hidden="false" customHeight="false" outlineLevel="0" collapsed="false">
      <c r="B28" s="11" t="s">
        <v>399</v>
      </c>
      <c r="C28" s="11" t="s">
        <v>400</v>
      </c>
      <c r="D28" s="11" t="s">
        <v>389</v>
      </c>
      <c r="E28" s="11" t="s">
        <v>401</v>
      </c>
      <c r="F28" s="11" t="s">
        <v>402</v>
      </c>
      <c r="G28" s="11" t="s">
        <v>392</v>
      </c>
      <c r="H28" s="11" t="s">
        <v>403</v>
      </c>
    </row>
    <row r="29" customFormat="false" ht="15" hidden="false" customHeight="false" outlineLevel="0" collapsed="false">
      <c r="B29" s="24" t="s">
        <v>247</v>
      </c>
      <c r="C29" s="38" t="n">
        <v>3</v>
      </c>
      <c r="D29" s="39" t="n">
        <f aca="false">COUNTIFS('Резиденты — лонг-лист'!$E$5:$E$204,$B29,'Резиденты — лонг-лист'!$D$5:$D$204,"Москва",'Резиденты — лонг-лист'!$S$5:$S$204,"Подписан")+COUNTIFS('Резиденты — лонг-лист'!$E$5:$E$204,$B29,'Резиденты — лонг-лист'!$D$5:$D$204,"Москва",'Резиденты — лонг-лист'!$S$5:$S$204,"Оплачен")+COUNTIFS('Резиденты — лонг-лист'!$E$5:$E$204,$B29,'Резиденты — лонг-лист'!$D$5:$D$204,"Комбо (1+2)",'Резиденты — лонг-лист'!$S$5:$S$204,"Подписан")+COUNTIFS('Резиденты — лонг-лист'!$E$5:$E$204,$B29,'Резиденты — лонг-лист'!$D$5:$D$204,"Комбо (1+2)",'Резиденты — лонг-лист'!$S$5:$S$204,"Оплачен")</f>
        <v>0</v>
      </c>
      <c r="E29" s="39" t="n">
        <f aca="false">D29-C29</f>
        <v>-3</v>
      </c>
      <c r="F29" s="38" t="n">
        <v>3</v>
      </c>
      <c r="G29" s="39" t="n">
        <f aca="false">COUNTIFS('Резиденты — лонг-лист'!$E$5:$E$204,$B29,'Резиденты — лонг-лист'!$D$5:$D$204,"Санкт-Петербург",'Резиденты — лонг-лист'!$S$5:$S$204,"Подписан")+COUNTIFS('Резиденты — лонг-лист'!$E$5:$E$204,$B29,'Резиденты — лонг-лист'!$D$5:$D$204,"Санкт-Петербург",'Резиденты — лонг-лист'!$S$5:$S$204,"Оплачен")+COUNTIFS('Резиденты — лонг-лист'!$E$5:$E$204,$B29,'Резиденты — лонг-лист'!$D$5:$D$204,"Комбо (1+2)",'Резиденты — лонг-лист'!$S$5:$S$204,"Подписан")+COUNTIFS('Резиденты — лонг-лист'!$E$5:$E$204,$B29,'Резиденты — лонг-лист'!$D$5:$D$204,"Комбо (1+2)",'Резиденты — лонг-лист'!$S$5:$S$204,"Оплачен")</f>
        <v>0</v>
      </c>
      <c r="H29" s="39" t="n">
        <f aca="false">G29-F29</f>
        <v>-3</v>
      </c>
    </row>
    <row r="30" customFormat="false" ht="15" hidden="false" customHeight="false" outlineLevel="0" collapsed="false">
      <c r="B30" s="24" t="s">
        <v>253</v>
      </c>
      <c r="C30" s="38" t="n">
        <v>4</v>
      </c>
      <c r="D30" s="39" t="n">
        <f aca="false">COUNTIFS('Резиденты — лонг-лист'!$E$5:$E$204,$B30,'Резиденты — лонг-лист'!$D$5:$D$204,"Москва",'Резиденты — лонг-лист'!$S$5:$S$204,"Подписан")+COUNTIFS('Резиденты — лонг-лист'!$E$5:$E$204,$B30,'Резиденты — лонг-лист'!$D$5:$D$204,"Москва",'Резиденты — лонг-лист'!$S$5:$S$204,"Оплачен")+COUNTIFS('Резиденты — лонг-лист'!$E$5:$E$204,$B30,'Резиденты — лонг-лист'!$D$5:$D$204,"Комбо (1+2)",'Резиденты — лонг-лист'!$S$5:$S$204,"Подписан")+COUNTIFS('Резиденты — лонг-лист'!$E$5:$E$204,$B30,'Резиденты — лонг-лист'!$D$5:$D$204,"Комбо (1+2)",'Резиденты — лонг-лист'!$S$5:$S$204,"Оплачен")</f>
        <v>0</v>
      </c>
      <c r="E30" s="39" t="n">
        <f aca="false">D30-C30</f>
        <v>-4</v>
      </c>
      <c r="F30" s="38" t="n">
        <v>3</v>
      </c>
      <c r="G30" s="39" t="n">
        <f aca="false">COUNTIFS('Резиденты — лонг-лист'!$E$5:$E$204,$B30,'Резиденты — лонг-лист'!$D$5:$D$204,"Санкт-Петербург",'Резиденты — лонг-лист'!$S$5:$S$204,"Подписан")+COUNTIFS('Резиденты — лонг-лист'!$E$5:$E$204,$B30,'Резиденты — лонг-лист'!$D$5:$D$204,"Санкт-Петербург",'Резиденты — лонг-лист'!$S$5:$S$204,"Оплачен")+COUNTIFS('Резиденты — лонг-лист'!$E$5:$E$204,$B30,'Резиденты — лонг-лист'!$D$5:$D$204,"Комбо (1+2)",'Резиденты — лонг-лист'!$S$5:$S$204,"Подписан")+COUNTIFS('Резиденты — лонг-лист'!$E$5:$E$204,$B30,'Резиденты — лонг-лист'!$D$5:$D$204,"Комбо (1+2)",'Резиденты — лонг-лист'!$S$5:$S$204,"Оплачен")</f>
        <v>0</v>
      </c>
      <c r="H30" s="39" t="n">
        <f aca="false">G30-F30</f>
        <v>-3</v>
      </c>
    </row>
    <row r="31" customFormat="false" ht="15" hidden="false" customHeight="false" outlineLevel="0" collapsed="false">
      <c r="B31" s="24" t="s">
        <v>259</v>
      </c>
      <c r="C31" s="38" t="n">
        <v>2</v>
      </c>
      <c r="D31" s="39" t="n">
        <f aca="false">COUNTIFS('Резиденты — лонг-лист'!$E$5:$E$204,$B31,'Резиденты — лонг-лист'!$D$5:$D$204,"Москва",'Резиденты — лонг-лист'!$S$5:$S$204,"Подписан")+COUNTIFS('Резиденты — лонг-лист'!$E$5:$E$204,$B31,'Резиденты — лонг-лист'!$D$5:$D$204,"Москва",'Резиденты — лонг-лист'!$S$5:$S$204,"Оплачен")+COUNTIFS('Резиденты — лонг-лист'!$E$5:$E$204,$B31,'Резиденты — лонг-лист'!$D$5:$D$204,"Комбо (1+2)",'Резиденты — лонг-лист'!$S$5:$S$204,"Подписан")+COUNTIFS('Резиденты — лонг-лист'!$E$5:$E$204,$B31,'Резиденты — лонг-лист'!$D$5:$D$204,"Комбо (1+2)",'Резиденты — лонг-лист'!$S$5:$S$204,"Оплачен")</f>
        <v>0</v>
      </c>
      <c r="E31" s="39" t="n">
        <f aca="false">D31-C31</f>
        <v>-2</v>
      </c>
      <c r="F31" s="38" t="n">
        <v>2</v>
      </c>
      <c r="G31" s="39" t="n">
        <f aca="false">COUNTIFS('Резиденты — лонг-лист'!$E$5:$E$204,$B31,'Резиденты — лонг-лист'!$D$5:$D$204,"Санкт-Петербург",'Резиденты — лонг-лист'!$S$5:$S$204,"Подписан")+COUNTIFS('Резиденты — лонг-лист'!$E$5:$E$204,$B31,'Резиденты — лонг-лист'!$D$5:$D$204,"Санкт-Петербург",'Резиденты — лонг-лист'!$S$5:$S$204,"Оплачен")+COUNTIFS('Резиденты — лонг-лист'!$E$5:$E$204,$B31,'Резиденты — лонг-лист'!$D$5:$D$204,"Комбо (1+2)",'Резиденты — лонг-лист'!$S$5:$S$204,"Подписан")+COUNTIFS('Резиденты — лонг-лист'!$E$5:$E$204,$B31,'Резиденты — лонг-лист'!$D$5:$D$204,"Комбо (1+2)",'Резиденты — лонг-лист'!$S$5:$S$204,"Оплачен")</f>
        <v>0</v>
      </c>
      <c r="H31" s="39" t="n">
        <f aca="false">G31-F31</f>
        <v>-2</v>
      </c>
    </row>
    <row r="32" customFormat="false" ht="15" hidden="false" customHeight="false" outlineLevel="0" collapsed="false">
      <c r="B32" s="24" t="s">
        <v>265</v>
      </c>
      <c r="C32" s="38" t="n">
        <v>3</v>
      </c>
      <c r="D32" s="39" t="n">
        <f aca="false">COUNTIFS('Резиденты — лонг-лист'!$E$5:$E$204,$B32,'Резиденты — лонг-лист'!$D$5:$D$204,"Москва",'Резиденты — лонг-лист'!$S$5:$S$204,"Подписан")+COUNTIFS('Резиденты — лонг-лист'!$E$5:$E$204,$B32,'Резиденты — лонг-лист'!$D$5:$D$204,"Москва",'Резиденты — лонг-лист'!$S$5:$S$204,"Оплачен")+COUNTIFS('Резиденты — лонг-лист'!$E$5:$E$204,$B32,'Резиденты — лонг-лист'!$D$5:$D$204,"Комбо (1+2)",'Резиденты — лонг-лист'!$S$5:$S$204,"Подписан")+COUNTIFS('Резиденты — лонг-лист'!$E$5:$E$204,$B32,'Резиденты — лонг-лист'!$D$5:$D$204,"Комбо (1+2)",'Резиденты — лонг-лист'!$S$5:$S$204,"Оплачен")</f>
        <v>0</v>
      </c>
      <c r="E32" s="39" t="n">
        <f aca="false">D32-C32</f>
        <v>-3</v>
      </c>
      <c r="F32" s="38" t="n">
        <v>2</v>
      </c>
      <c r="G32" s="39" t="n">
        <f aca="false">COUNTIFS('Резиденты — лонг-лист'!$E$5:$E$204,$B32,'Резиденты — лонг-лист'!$D$5:$D$204,"Санкт-Петербург",'Резиденты — лонг-лист'!$S$5:$S$204,"Подписан")+COUNTIFS('Резиденты — лонг-лист'!$E$5:$E$204,$B32,'Резиденты — лонг-лист'!$D$5:$D$204,"Санкт-Петербург",'Резиденты — лонг-лист'!$S$5:$S$204,"Оплачен")+COUNTIFS('Резиденты — лонг-лист'!$E$5:$E$204,$B32,'Резиденты — лонг-лист'!$D$5:$D$204,"Комбо (1+2)",'Резиденты — лонг-лист'!$S$5:$S$204,"Подписан")+COUNTIFS('Резиденты — лонг-лист'!$E$5:$E$204,$B32,'Резиденты — лонг-лист'!$D$5:$D$204,"Комбо (1+2)",'Резиденты — лонг-лист'!$S$5:$S$204,"Оплачен")</f>
        <v>0</v>
      </c>
      <c r="H32" s="39" t="n">
        <f aca="false">G32-F32</f>
        <v>-2</v>
      </c>
    </row>
    <row r="33" customFormat="false" ht="15" hidden="false" customHeight="false" outlineLevel="0" collapsed="false">
      <c r="B33" s="24" t="s">
        <v>271</v>
      </c>
      <c r="C33" s="38" t="n">
        <v>3</v>
      </c>
      <c r="D33" s="39" t="n">
        <f aca="false">COUNTIFS('Резиденты — лонг-лист'!$E$5:$E$204,$B33,'Резиденты — лонг-лист'!$D$5:$D$204,"Москва",'Резиденты — лонг-лист'!$S$5:$S$204,"Подписан")+COUNTIFS('Резиденты — лонг-лист'!$E$5:$E$204,$B33,'Резиденты — лонг-лист'!$D$5:$D$204,"Москва",'Резиденты — лонг-лист'!$S$5:$S$204,"Оплачен")+COUNTIFS('Резиденты — лонг-лист'!$E$5:$E$204,$B33,'Резиденты — лонг-лист'!$D$5:$D$204,"Комбо (1+2)",'Резиденты — лонг-лист'!$S$5:$S$204,"Подписан")+COUNTIFS('Резиденты — лонг-лист'!$E$5:$E$204,$B33,'Резиденты — лонг-лист'!$D$5:$D$204,"Комбо (1+2)",'Резиденты — лонг-лист'!$S$5:$S$204,"Оплачен")</f>
        <v>0</v>
      </c>
      <c r="E33" s="39" t="n">
        <f aca="false">D33-C33</f>
        <v>-3</v>
      </c>
      <c r="F33" s="38" t="n">
        <v>3</v>
      </c>
      <c r="G33" s="39" t="n">
        <f aca="false">COUNTIFS('Резиденты — лонг-лист'!$E$5:$E$204,$B33,'Резиденты — лонг-лист'!$D$5:$D$204,"Санкт-Петербург",'Резиденты — лонг-лист'!$S$5:$S$204,"Подписан")+COUNTIFS('Резиденты — лонг-лист'!$E$5:$E$204,$B33,'Резиденты — лонг-лист'!$D$5:$D$204,"Санкт-Петербург",'Резиденты — лонг-лист'!$S$5:$S$204,"Оплачен")+COUNTIFS('Резиденты — лонг-лист'!$E$5:$E$204,$B33,'Резиденты — лонг-лист'!$D$5:$D$204,"Комбо (1+2)",'Резиденты — лонг-лист'!$S$5:$S$204,"Подписан")+COUNTIFS('Резиденты — лонг-лист'!$E$5:$E$204,$B33,'Резиденты — лонг-лист'!$D$5:$D$204,"Комбо (1+2)",'Резиденты — лонг-лист'!$S$5:$S$204,"Оплачен")</f>
        <v>0</v>
      </c>
      <c r="H33" s="39" t="n">
        <f aca="false">G33-F33</f>
        <v>-3</v>
      </c>
    </row>
    <row r="34" customFormat="false" ht="15" hidden="false" customHeight="false" outlineLevel="0" collapsed="false">
      <c r="B34" s="24" t="s">
        <v>277</v>
      </c>
      <c r="C34" s="38" t="n">
        <v>2</v>
      </c>
      <c r="D34" s="39" t="n">
        <f aca="false">COUNTIFS('Резиденты — лонг-лист'!$E$5:$E$204,$B34,'Резиденты — лонг-лист'!$D$5:$D$204,"Москва",'Резиденты — лонг-лист'!$S$5:$S$204,"Подписан")+COUNTIFS('Резиденты — лонг-лист'!$E$5:$E$204,$B34,'Резиденты — лонг-лист'!$D$5:$D$204,"Москва",'Резиденты — лонг-лист'!$S$5:$S$204,"Оплачен")+COUNTIFS('Резиденты — лонг-лист'!$E$5:$E$204,$B34,'Резиденты — лонг-лист'!$D$5:$D$204,"Комбо (1+2)",'Резиденты — лонг-лист'!$S$5:$S$204,"Подписан")+COUNTIFS('Резиденты — лонг-лист'!$E$5:$E$204,$B34,'Резиденты — лонг-лист'!$D$5:$D$204,"Комбо (1+2)",'Резиденты — лонг-лист'!$S$5:$S$204,"Оплачен")</f>
        <v>0</v>
      </c>
      <c r="E34" s="39" t="n">
        <f aca="false">D34-C34</f>
        <v>-2</v>
      </c>
      <c r="F34" s="38" t="n">
        <v>2</v>
      </c>
      <c r="G34" s="39" t="n">
        <f aca="false">COUNTIFS('Резиденты — лонг-лист'!$E$5:$E$204,$B34,'Резиденты — лонг-лист'!$D$5:$D$204,"Санкт-Петербург",'Резиденты — лонг-лист'!$S$5:$S$204,"Подписан")+COUNTIFS('Резиденты — лонг-лист'!$E$5:$E$204,$B34,'Резиденты — лонг-лист'!$D$5:$D$204,"Санкт-Петербург",'Резиденты — лонг-лист'!$S$5:$S$204,"Оплачен")+COUNTIFS('Резиденты — лонг-лист'!$E$5:$E$204,$B34,'Резиденты — лонг-лист'!$D$5:$D$204,"Комбо (1+2)",'Резиденты — лонг-лист'!$S$5:$S$204,"Подписан")+COUNTIFS('Резиденты — лонг-лист'!$E$5:$E$204,$B34,'Резиденты — лонг-лист'!$D$5:$D$204,"Комбо (1+2)",'Резиденты — лонг-лист'!$S$5:$S$204,"Оплачен")</f>
        <v>0</v>
      </c>
      <c r="H34" s="39" t="n">
        <f aca="false">G34-F34</f>
        <v>-2</v>
      </c>
    </row>
    <row r="35" customFormat="false" ht="15" hidden="false" customHeight="false" outlineLevel="0" collapsed="false">
      <c r="B35" s="24" t="s">
        <v>283</v>
      </c>
      <c r="C35" s="38" t="n">
        <v>2</v>
      </c>
      <c r="D35" s="39" t="n">
        <f aca="false">COUNTIFS('Резиденты — лонг-лист'!$E$5:$E$204,$B35,'Резиденты — лонг-лист'!$D$5:$D$204,"Москва",'Резиденты — лонг-лист'!$S$5:$S$204,"Подписан")+COUNTIFS('Резиденты — лонг-лист'!$E$5:$E$204,$B35,'Резиденты — лонг-лист'!$D$5:$D$204,"Москва",'Резиденты — лонг-лист'!$S$5:$S$204,"Оплачен")+COUNTIFS('Резиденты — лонг-лист'!$E$5:$E$204,$B35,'Резиденты — лонг-лист'!$D$5:$D$204,"Комбо (1+2)",'Резиденты — лонг-лист'!$S$5:$S$204,"Подписан")+COUNTIFS('Резиденты — лонг-лист'!$E$5:$E$204,$B35,'Резиденты — лонг-лист'!$D$5:$D$204,"Комбо (1+2)",'Резиденты — лонг-лист'!$S$5:$S$204,"Оплачен")</f>
        <v>0</v>
      </c>
      <c r="E35" s="39" t="n">
        <f aca="false">D35-C35</f>
        <v>-2</v>
      </c>
      <c r="F35" s="38" t="n">
        <v>2</v>
      </c>
      <c r="G35" s="39" t="n">
        <f aca="false">COUNTIFS('Резиденты — лонг-лист'!$E$5:$E$204,$B35,'Резиденты — лонг-лист'!$D$5:$D$204,"Санкт-Петербург",'Резиденты — лонг-лист'!$S$5:$S$204,"Подписан")+COUNTIFS('Резиденты — лонг-лист'!$E$5:$E$204,$B35,'Резиденты — лонг-лист'!$D$5:$D$204,"Санкт-Петербург",'Резиденты — лонг-лист'!$S$5:$S$204,"Оплачен")+COUNTIFS('Резиденты — лонг-лист'!$E$5:$E$204,$B35,'Резиденты — лонг-лист'!$D$5:$D$204,"Комбо (1+2)",'Резиденты — лонг-лист'!$S$5:$S$204,"Подписан")+COUNTIFS('Резиденты — лонг-лист'!$E$5:$E$204,$B35,'Резиденты — лонг-лист'!$D$5:$D$204,"Комбо (1+2)",'Резиденты — лонг-лист'!$S$5:$S$204,"Оплачен")</f>
        <v>0</v>
      </c>
      <c r="H35" s="39" t="n">
        <f aca="false">G35-F35</f>
        <v>-2</v>
      </c>
    </row>
    <row r="36" customFormat="false" ht="15" hidden="false" customHeight="false" outlineLevel="0" collapsed="false">
      <c r="B36" s="24" t="s">
        <v>285</v>
      </c>
      <c r="C36" s="38" t="n">
        <v>3</v>
      </c>
      <c r="D36" s="39" t="n">
        <f aca="false">COUNTIFS('Резиденты — лонг-лист'!$E$5:$E$204,$B36,'Резиденты — лонг-лист'!$D$5:$D$204,"Москва",'Резиденты — лонг-лист'!$S$5:$S$204,"Подписан")+COUNTIFS('Резиденты — лонг-лист'!$E$5:$E$204,$B36,'Резиденты — лонг-лист'!$D$5:$D$204,"Москва",'Резиденты — лонг-лист'!$S$5:$S$204,"Оплачен")+COUNTIFS('Резиденты — лонг-лист'!$E$5:$E$204,$B36,'Резиденты — лонг-лист'!$D$5:$D$204,"Комбо (1+2)",'Резиденты — лонг-лист'!$S$5:$S$204,"Подписан")+COUNTIFS('Резиденты — лонг-лист'!$E$5:$E$204,$B36,'Резиденты — лонг-лист'!$D$5:$D$204,"Комбо (1+2)",'Резиденты — лонг-лист'!$S$5:$S$204,"Оплачен")</f>
        <v>0</v>
      </c>
      <c r="E36" s="39" t="n">
        <f aca="false">D36-C36</f>
        <v>-3</v>
      </c>
      <c r="F36" s="38" t="n">
        <v>3</v>
      </c>
      <c r="G36" s="39" t="n">
        <f aca="false">COUNTIFS('Резиденты — лонг-лист'!$E$5:$E$204,$B36,'Резиденты — лонг-лист'!$D$5:$D$204,"Санкт-Петербург",'Резиденты — лонг-лист'!$S$5:$S$204,"Подписан")+COUNTIFS('Резиденты — лонг-лист'!$E$5:$E$204,$B36,'Резиденты — лонг-лист'!$D$5:$D$204,"Санкт-Петербург",'Резиденты — лонг-лист'!$S$5:$S$204,"Оплачен")+COUNTIFS('Резиденты — лонг-лист'!$E$5:$E$204,$B36,'Резиденты — лонг-лист'!$D$5:$D$204,"Комбо (1+2)",'Резиденты — лонг-лист'!$S$5:$S$204,"Подписан")+COUNTIFS('Резиденты — лонг-лист'!$E$5:$E$204,$B36,'Резиденты — лонг-лист'!$D$5:$D$204,"Комбо (1+2)",'Резиденты — лонг-лист'!$S$5:$S$204,"Оплачен")</f>
        <v>0</v>
      </c>
      <c r="H36" s="39" t="n">
        <f aca="false">G36-F36</f>
        <v>-3</v>
      </c>
    </row>
    <row r="37" customFormat="false" ht="15" hidden="false" customHeight="false" outlineLevel="0" collapsed="false">
      <c r="B37" s="24" t="s">
        <v>290</v>
      </c>
      <c r="C37" s="38" t="n">
        <v>3</v>
      </c>
      <c r="D37" s="39" t="n">
        <f aca="false">COUNTIFS('Резиденты — лонг-лист'!$E$5:$E$204,$B37,'Резиденты — лонг-лист'!$D$5:$D$204,"Москва",'Резиденты — лонг-лист'!$S$5:$S$204,"Подписан")+COUNTIFS('Резиденты — лонг-лист'!$E$5:$E$204,$B37,'Резиденты — лонг-лист'!$D$5:$D$204,"Москва",'Резиденты — лонг-лист'!$S$5:$S$204,"Оплачен")+COUNTIFS('Резиденты — лонг-лист'!$E$5:$E$204,$B37,'Резиденты — лонг-лист'!$D$5:$D$204,"Комбо (1+2)",'Резиденты — лонг-лист'!$S$5:$S$204,"Подписан")+COUNTIFS('Резиденты — лонг-лист'!$E$5:$E$204,$B37,'Резиденты — лонг-лист'!$D$5:$D$204,"Комбо (1+2)",'Резиденты — лонг-лист'!$S$5:$S$204,"Оплачен")</f>
        <v>0</v>
      </c>
      <c r="E37" s="39" t="n">
        <f aca="false">D37-C37</f>
        <v>-3</v>
      </c>
      <c r="F37" s="38" t="n">
        <v>2</v>
      </c>
      <c r="G37" s="39" t="n">
        <f aca="false">COUNTIFS('Резиденты — лонг-лист'!$E$5:$E$204,$B37,'Резиденты — лонг-лист'!$D$5:$D$204,"Санкт-Петербург",'Резиденты — лонг-лист'!$S$5:$S$204,"Подписан")+COUNTIFS('Резиденты — лонг-лист'!$E$5:$E$204,$B37,'Резиденты — лонг-лист'!$D$5:$D$204,"Санкт-Петербург",'Резиденты — лонг-лист'!$S$5:$S$204,"Оплачен")+COUNTIFS('Резиденты — лонг-лист'!$E$5:$E$204,$B37,'Резиденты — лонг-лист'!$D$5:$D$204,"Комбо (1+2)",'Резиденты — лонг-лист'!$S$5:$S$204,"Подписан")+COUNTIFS('Резиденты — лонг-лист'!$E$5:$E$204,$B37,'Резиденты — лонг-лист'!$D$5:$D$204,"Комбо (1+2)",'Резиденты — лонг-лист'!$S$5:$S$204,"Оплачен")</f>
        <v>0</v>
      </c>
      <c r="H37" s="39" t="n">
        <f aca="false">G37-F37</f>
        <v>-2</v>
      </c>
    </row>
    <row r="38" customFormat="false" ht="15" hidden="false" customHeight="false" outlineLevel="0" collapsed="false">
      <c r="B38" s="24" t="s">
        <v>295</v>
      </c>
      <c r="C38" s="38" t="n">
        <v>3</v>
      </c>
      <c r="D38" s="39" t="n">
        <f aca="false">COUNTIFS('Резиденты — лонг-лист'!$E$5:$E$204,$B38,'Резиденты — лонг-лист'!$D$5:$D$204,"Москва",'Резиденты — лонг-лист'!$S$5:$S$204,"Подписан")+COUNTIFS('Резиденты — лонг-лист'!$E$5:$E$204,$B38,'Резиденты — лонг-лист'!$D$5:$D$204,"Москва",'Резиденты — лонг-лист'!$S$5:$S$204,"Оплачен")+COUNTIFS('Резиденты — лонг-лист'!$E$5:$E$204,$B38,'Резиденты — лонг-лист'!$D$5:$D$204,"Комбо (1+2)",'Резиденты — лонг-лист'!$S$5:$S$204,"Подписан")+COUNTIFS('Резиденты — лонг-лист'!$E$5:$E$204,$B38,'Резиденты — лонг-лист'!$D$5:$D$204,"Комбо (1+2)",'Резиденты — лонг-лист'!$S$5:$S$204,"Оплачен")</f>
        <v>0</v>
      </c>
      <c r="E38" s="39" t="n">
        <f aca="false">D38-C38</f>
        <v>-3</v>
      </c>
      <c r="F38" s="38" t="n">
        <v>2</v>
      </c>
      <c r="G38" s="39" t="n">
        <f aca="false">COUNTIFS('Резиденты — лонг-лист'!$E$5:$E$204,$B38,'Резиденты — лонг-лист'!$D$5:$D$204,"Санкт-Петербург",'Резиденты — лонг-лист'!$S$5:$S$204,"Подписан")+COUNTIFS('Резиденты — лонг-лист'!$E$5:$E$204,$B38,'Резиденты — лонг-лист'!$D$5:$D$204,"Санкт-Петербург",'Резиденты — лонг-лист'!$S$5:$S$204,"Оплачен")+COUNTIFS('Резиденты — лонг-лист'!$E$5:$E$204,$B38,'Резиденты — лонг-лист'!$D$5:$D$204,"Комбо (1+2)",'Резиденты — лонг-лист'!$S$5:$S$204,"Подписан")+COUNTIFS('Резиденты — лонг-лист'!$E$5:$E$204,$B38,'Резиденты — лонг-лист'!$D$5:$D$204,"Комбо (1+2)",'Резиденты — лонг-лист'!$S$5:$S$204,"Оплачен")</f>
        <v>0</v>
      </c>
      <c r="H38" s="39" t="n">
        <f aca="false">G38-F38</f>
        <v>-2</v>
      </c>
    </row>
    <row r="39" customFormat="false" ht="15" hidden="false" customHeight="false" outlineLevel="0" collapsed="false">
      <c r="B39" s="24" t="s">
        <v>296</v>
      </c>
      <c r="C39" s="38" t="n">
        <v>2</v>
      </c>
      <c r="D39" s="39" t="n">
        <f aca="false">COUNTIFS('Резиденты — лонг-лист'!$E$5:$E$204,$B39,'Резиденты — лонг-лист'!$D$5:$D$204,"Москва",'Резиденты — лонг-лист'!$S$5:$S$204,"Подписан")+COUNTIFS('Резиденты — лонг-лист'!$E$5:$E$204,$B39,'Резиденты — лонг-лист'!$D$5:$D$204,"Москва",'Резиденты — лонг-лист'!$S$5:$S$204,"Оплачен")+COUNTIFS('Резиденты — лонг-лист'!$E$5:$E$204,$B39,'Резиденты — лонг-лист'!$D$5:$D$204,"Комбо (1+2)",'Резиденты — лонг-лист'!$S$5:$S$204,"Подписан")+COUNTIFS('Резиденты — лонг-лист'!$E$5:$E$204,$B39,'Резиденты — лонг-лист'!$D$5:$D$204,"Комбо (1+2)",'Резиденты — лонг-лист'!$S$5:$S$204,"Оплачен")</f>
        <v>0</v>
      </c>
      <c r="E39" s="39" t="n">
        <f aca="false">D39-C39</f>
        <v>-2</v>
      </c>
      <c r="F39" s="38" t="n">
        <v>2</v>
      </c>
      <c r="G39" s="39" t="n">
        <f aca="false">COUNTIFS('Резиденты — лонг-лист'!$E$5:$E$204,$B39,'Резиденты — лонг-лист'!$D$5:$D$204,"Санкт-Петербург",'Резиденты — лонг-лист'!$S$5:$S$204,"Подписан")+COUNTIFS('Резиденты — лонг-лист'!$E$5:$E$204,$B39,'Резиденты — лонг-лист'!$D$5:$D$204,"Санкт-Петербург",'Резиденты — лонг-лист'!$S$5:$S$204,"Оплачен")+COUNTIFS('Резиденты — лонг-лист'!$E$5:$E$204,$B39,'Резиденты — лонг-лист'!$D$5:$D$204,"Комбо (1+2)",'Резиденты — лонг-лист'!$S$5:$S$204,"Подписан")+COUNTIFS('Резиденты — лонг-лист'!$E$5:$E$204,$B39,'Резиденты — лонг-лист'!$D$5:$D$204,"Комбо (1+2)",'Резиденты — лонг-лист'!$S$5:$S$204,"Оплачен")</f>
        <v>0</v>
      </c>
      <c r="H39" s="39" t="n">
        <f aca="false">G39-F39</f>
        <v>-2</v>
      </c>
    </row>
    <row r="40" customFormat="false" ht="15" hidden="false" customHeight="false" outlineLevel="0" collapsed="false">
      <c r="B40" s="24" t="s">
        <v>297</v>
      </c>
      <c r="C40" s="38" t="n">
        <v>5</v>
      </c>
      <c r="D40" s="39" t="n">
        <f aca="false">COUNTIFS('Резиденты — лонг-лист'!$E$5:$E$204,$B40,'Резиденты — лонг-лист'!$D$5:$D$204,"Москва",'Резиденты — лонг-лист'!$S$5:$S$204,"Подписан")+COUNTIFS('Резиденты — лонг-лист'!$E$5:$E$204,$B40,'Резиденты — лонг-лист'!$D$5:$D$204,"Москва",'Резиденты — лонг-лист'!$S$5:$S$204,"Оплачен")+COUNTIFS('Резиденты — лонг-лист'!$E$5:$E$204,$B40,'Резиденты — лонг-лист'!$D$5:$D$204,"Комбо (1+2)",'Резиденты — лонг-лист'!$S$5:$S$204,"Подписан")+COUNTIFS('Резиденты — лонг-лист'!$E$5:$E$204,$B40,'Резиденты — лонг-лист'!$D$5:$D$204,"Комбо (1+2)",'Резиденты — лонг-лист'!$S$5:$S$204,"Оплачен")</f>
        <v>0</v>
      </c>
      <c r="E40" s="39" t="n">
        <f aca="false">D40-C40</f>
        <v>-5</v>
      </c>
      <c r="F40" s="38" t="n">
        <v>4</v>
      </c>
      <c r="G40" s="39" t="n">
        <f aca="false">COUNTIFS('Резиденты — лонг-лист'!$E$5:$E$204,$B40,'Резиденты — лонг-лист'!$D$5:$D$204,"Санкт-Петербург",'Резиденты — лонг-лист'!$S$5:$S$204,"Подписан")+COUNTIFS('Резиденты — лонг-лист'!$E$5:$E$204,$B40,'Резиденты — лонг-лист'!$D$5:$D$204,"Санкт-Петербург",'Резиденты — лонг-лист'!$S$5:$S$204,"Оплачен")+COUNTIFS('Резиденты — лонг-лист'!$E$5:$E$204,$B40,'Резиденты — лонг-лист'!$D$5:$D$204,"Комбо (1+2)",'Резиденты — лонг-лист'!$S$5:$S$204,"Подписан")+COUNTIFS('Резиденты — лонг-лист'!$E$5:$E$204,$B40,'Резиденты — лонг-лист'!$D$5:$D$204,"Комбо (1+2)",'Резиденты — лонг-лист'!$S$5:$S$204,"Оплачен")</f>
        <v>0</v>
      </c>
      <c r="H40" s="39" t="n">
        <f aca="false">G40-F40</f>
        <v>-4</v>
      </c>
    </row>
    <row r="41" customFormat="false" ht="15" hidden="false" customHeight="false" outlineLevel="0" collapsed="false">
      <c r="B41" s="24" t="s">
        <v>299</v>
      </c>
      <c r="C41" s="38" t="n">
        <v>2</v>
      </c>
      <c r="D41" s="39" t="n">
        <f aca="false">COUNTIFS('Резиденты — лонг-лист'!$E$5:$E$204,$B41,'Резиденты — лонг-лист'!$D$5:$D$204,"Москва",'Резиденты — лонг-лист'!$S$5:$S$204,"Подписан")+COUNTIFS('Резиденты — лонг-лист'!$E$5:$E$204,$B41,'Резиденты — лонг-лист'!$D$5:$D$204,"Москва",'Резиденты — лонг-лист'!$S$5:$S$204,"Оплачен")+COUNTIFS('Резиденты — лонг-лист'!$E$5:$E$204,$B41,'Резиденты — лонг-лист'!$D$5:$D$204,"Комбо (1+2)",'Резиденты — лонг-лист'!$S$5:$S$204,"Подписан")+COUNTIFS('Резиденты — лонг-лист'!$E$5:$E$204,$B41,'Резиденты — лонг-лист'!$D$5:$D$204,"Комбо (1+2)",'Резиденты — лонг-лист'!$S$5:$S$204,"Оплачен")</f>
        <v>0</v>
      </c>
      <c r="E41" s="39" t="n">
        <f aca="false">D41-C41</f>
        <v>-2</v>
      </c>
      <c r="F41" s="38" t="n">
        <v>2</v>
      </c>
      <c r="G41" s="39" t="n">
        <f aca="false">COUNTIFS('Резиденты — лонг-лист'!$E$5:$E$204,$B41,'Резиденты — лонг-лист'!$D$5:$D$204,"Санкт-Петербург",'Резиденты — лонг-лист'!$S$5:$S$204,"Подписан")+COUNTIFS('Резиденты — лонг-лист'!$E$5:$E$204,$B41,'Резиденты — лонг-лист'!$D$5:$D$204,"Санкт-Петербург",'Резиденты — лонг-лист'!$S$5:$S$204,"Оплачен")+COUNTIFS('Резиденты — лонг-лист'!$E$5:$E$204,$B41,'Резиденты — лонг-лист'!$D$5:$D$204,"Комбо (1+2)",'Резиденты — лонг-лист'!$S$5:$S$204,"Подписан")+COUNTIFS('Резиденты — лонг-лист'!$E$5:$E$204,$B41,'Резиденты — лонг-лист'!$D$5:$D$204,"Комбо (1+2)",'Резиденты — лонг-лист'!$S$5:$S$204,"Оплачен")</f>
        <v>0</v>
      </c>
      <c r="H41" s="39" t="n">
        <f aca="false">G41-F41</f>
        <v>-2</v>
      </c>
    </row>
    <row r="42" customFormat="false" ht="15" hidden="false" customHeight="false" outlineLevel="0" collapsed="false">
      <c r="B42" s="24" t="s">
        <v>305</v>
      </c>
      <c r="C42" s="38" t="n">
        <v>0</v>
      </c>
      <c r="D42" s="39" t="n">
        <f aca="false">COUNTIFS('Резиденты — лонг-лист'!$E$5:$E$204,$B42,'Резиденты — лонг-лист'!$D$5:$D$204,"Москва",'Резиденты — лонг-лист'!$S$5:$S$204,"Подписан")+COUNTIFS('Резиденты — лонг-лист'!$E$5:$E$204,$B42,'Резиденты — лонг-лист'!$D$5:$D$204,"Москва",'Резиденты — лонг-лист'!$S$5:$S$204,"Оплачен")+COUNTIFS('Резиденты — лонг-лист'!$E$5:$E$204,$B42,'Резиденты — лонг-лист'!$D$5:$D$204,"Комбо (1+2)",'Резиденты — лонг-лист'!$S$5:$S$204,"Подписан")+COUNTIFS('Резиденты — лонг-лист'!$E$5:$E$204,$B42,'Резиденты — лонг-лист'!$D$5:$D$204,"Комбо (1+2)",'Резиденты — лонг-лист'!$S$5:$S$204,"Оплачен")</f>
        <v>0</v>
      </c>
      <c r="E42" s="39" t="n">
        <f aca="false">D42-C42</f>
        <v>0</v>
      </c>
      <c r="F42" s="38" t="n">
        <v>0</v>
      </c>
      <c r="G42" s="39" t="n">
        <f aca="false">COUNTIFS('Резиденты — лонг-лист'!$E$5:$E$204,$B42,'Резиденты — лонг-лист'!$D$5:$D$204,"Санкт-Петербург",'Резиденты — лонг-лист'!$S$5:$S$204,"Подписан")+COUNTIFS('Резиденты — лонг-лист'!$E$5:$E$204,$B42,'Резиденты — лонг-лист'!$D$5:$D$204,"Санкт-Петербург",'Резиденты — лонг-лист'!$S$5:$S$204,"Оплачен")+COUNTIFS('Резиденты — лонг-лист'!$E$5:$E$204,$B42,'Резиденты — лонг-лист'!$D$5:$D$204,"Комбо (1+2)",'Резиденты — лонг-лист'!$S$5:$S$204,"Подписан")+COUNTIFS('Резиденты — лонг-лист'!$E$5:$E$204,$B42,'Резиденты — лонг-лист'!$D$5:$D$204,"Комбо (1+2)",'Резиденты — лонг-лист'!$S$5:$S$204,"Оплачен")</f>
        <v>0</v>
      </c>
      <c r="H42" s="39" t="n">
        <f aca="false">G42-F42</f>
        <v>0</v>
      </c>
    </row>
    <row r="43" customFormat="false" ht="15" hidden="false" customHeight="false" outlineLevel="0" collapsed="false">
      <c r="B43" s="23" t="s">
        <v>404</v>
      </c>
    </row>
  </sheetData>
  <conditionalFormatting sqref="H6:H14">
    <cfRule type="cellIs" priority="2" operator="lessThan" aboveAverage="0" equalAverage="0" bottom="0" percent="0" rank="0" text="" dxfId="0">
      <formula>0</formula>
    </cfRule>
  </conditionalFormatting>
  <conditionalFormatting sqref="N6:N14">
    <cfRule type="cellIs" priority="3" operator="lessThan" aboveAverage="0" equalAverage="0" bottom="0" percent="0" rank="0" text="" dxfId="0">
      <formula>0</formula>
    </cfRule>
  </conditionalFormatting>
  <conditionalFormatting sqref="E29:E42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1">
      <formula>0</formula>
    </cfRule>
  </conditionalFormatting>
  <conditionalFormatting sqref="H29:H42">
    <cfRule type="cellIs" priority="6" operator="lessThan" aboveAverage="0" equalAverage="0" bottom="0" percent="0" rank="0" text="" dxfId="0">
      <formula>0</formula>
    </cfRule>
    <cfRule type="cellIs" priority="7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4" min="4" style="0" width="17"/>
    <col collapsed="false" customWidth="true" hidden="false" outlineLevel="0" max="5" min="5" style="0" width="22"/>
    <col collapsed="false" customWidth="true" hidden="false" outlineLevel="0" max="6" min="6" style="0" width="26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2" min="11" style="0" width="11"/>
    <col collapsed="false" customWidth="true" hidden="false" outlineLevel="0" max="13" min="13" style="0" width="12"/>
    <col collapsed="false" customWidth="true" hidden="false" outlineLevel="0" max="14" min="14" style="0" width="7"/>
    <col collapsed="false" customWidth="true" hidden="false" outlineLevel="0" max="17" min="15" style="0" width="10"/>
    <col collapsed="false" customWidth="true" hidden="false" outlineLevel="0" max="18" min="18" style="0" width="8"/>
    <col collapsed="false" customWidth="true" hidden="false" outlineLevel="0" max="19" min="19" style="0" width="14"/>
    <col collapsed="false" customWidth="true" hidden="false" outlineLevel="0" max="20" min="20" style="0" width="15"/>
    <col collapsed="false" customWidth="true" hidden="false" outlineLevel="0" max="21" min="21" style="0" width="16"/>
    <col collapsed="false" customWidth="true" hidden="false" outlineLevel="0" max="22" min="22" style="0" width="36"/>
  </cols>
  <sheetData>
    <row r="1" customFormat="false" ht="16.15" hidden="false" customHeight="false" outlineLevel="0" collapsed="false">
      <c r="B1" s="1" t="s">
        <v>405</v>
      </c>
    </row>
    <row r="2" customFormat="false" ht="15" hidden="false" customHeight="false" outlineLevel="0" collapsed="false">
      <c r="B2" s="23" t="s">
        <v>406</v>
      </c>
    </row>
    <row r="4" customFormat="false" ht="39.75" hidden="false" customHeight="true" outlineLevel="0" collapsed="false">
      <c r="B4" s="11" t="s">
        <v>407</v>
      </c>
      <c r="C4" s="11" t="s">
        <v>408</v>
      </c>
      <c r="D4" s="11" t="s">
        <v>409</v>
      </c>
      <c r="E4" s="11" t="s">
        <v>410</v>
      </c>
      <c r="F4" s="11" t="s">
        <v>411</v>
      </c>
      <c r="G4" s="11" t="s">
        <v>412</v>
      </c>
      <c r="H4" s="11" t="s">
        <v>413</v>
      </c>
      <c r="I4" s="11" t="s">
        <v>310</v>
      </c>
      <c r="J4" s="11" t="s">
        <v>414</v>
      </c>
      <c r="K4" s="11" t="s">
        <v>415</v>
      </c>
      <c r="L4" s="11" t="s">
        <v>416</v>
      </c>
      <c r="M4" s="11" t="s">
        <v>417</v>
      </c>
      <c r="N4" s="11" t="s">
        <v>418</v>
      </c>
      <c r="O4" s="11" t="s">
        <v>419</v>
      </c>
      <c r="P4" s="11" t="s">
        <v>420</v>
      </c>
      <c r="Q4" s="11" t="s">
        <v>421</v>
      </c>
      <c r="R4" s="11" t="s">
        <v>422</v>
      </c>
      <c r="S4" s="11" t="s">
        <v>423</v>
      </c>
      <c r="T4" s="11" t="s">
        <v>424</v>
      </c>
      <c r="U4" s="11" t="s">
        <v>425</v>
      </c>
      <c r="V4" s="11" t="s">
        <v>426</v>
      </c>
    </row>
    <row r="5" customFormat="false" ht="15" hidden="false" customHeight="false" outlineLevel="0" collapsed="false">
      <c r="B5" s="48" t="n">
        <f aca="false">IF(C5="","",ROW()-4)</f>
        <v>1</v>
      </c>
      <c r="C5" s="49" t="s">
        <v>427</v>
      </c>
      <c r="D5" s="49" t="s">
        <v>50</v>
      </c>
      <c r="E5" s="49" t="s">
        <v>271</v>
      </c>
      <c r="F5" s="49" t="s">
        <v>61</v>
      </c>
      <c r="G5" s="49" t="n">
        <v>1</v>
      </c>
      <c r="H5" s="49" t="n">
        <v>5</v>
      </c>
      <c r="I5" s="49" t="n">
        <v>4</v>
      </c>
      <c r="J5" s="49" t="n">
        <v>4</v>
      </c>
      <c r="K5" s="49" t="n">
        <v>5</v>
      </c>
      <c r="L5" s="49" t="n">
        <v>4</v>
      </c>
      <c r="M5" s="19" t="n">
        <v>3</v>
      </c>
      <c r="N5" s="50" t="n">
        <f aca="false">IF(COUNT(H5:M5)&lt;6,"",ROUND((H5*'Резиденты — уровни'!$C$19+I5*'Резиденты — уровни'!$C$20+J5*'Резиденты — уровни'!$C$21+K5*'Резиденты — уровни'!$C$22+L5*'Резиденты — уровни'!$C$23+M5*'Резиденты — уровни'!$C$24)/SUM('Резиденты — уровни'!$C$19:$C$24),2))</f>
        <v>4.3</v>
      </c>
      <c r="O5" s="19" t="str">
        <f aca="false">IF(N5="","",IF(N5&gt;='Резиденты — уровни'!$C$27,"A",IF(N5&gt;='Резиденты — уровни'!$C$28,"B","C")))</f>
        <v>A</v>
      </c>
      <c r="P5" s="49"/>
      <c r="Q5" s="18" t="str">
        <f aca="false">IF(P5&lt;&gt;"",P5,O5)</f>
        <v>A</v>
      </c>
      <c r="R5" s="49" t="s">
        <v>428</v>
      </c>
      <c r="S5" s="49" t="s">
        <v>254</v>
      </c>
      <c r="T5" s="49" t="s">
        <v>429</v>
      </c>
      <c r="U5" s="51" t="n">
        <f aca="false">IF(OR(F5="",D5=""),"",IF(G5=2,SUMIFS('Матрица 2027'!$J$6:$J$53,'Матрица 2027'!$B$6:$B$53,F5,'Матрица 2027'!$C$6:$C$53,D5),SUMIFS('Матрица 2027'!$I$6:$I$53,'Матрица 2027'!$B$6:$B$53,F5,'Матрица 2027'!$C$6:$C$53,D5)))</f>
        <v>310000</v>
      </c>
      <c r="V5" s="49" t="s">
        <v>430</v>
      </c>
    </row>
    <row r="6" customFormat="false" ht="15" hidden="false" customHeight="false" outlineLevel="0" collapsed="false">
      <c r="B6" s="24" t="str">
        <f aca="false">IF(C6="","",ROW()-4)</f>
        <v/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40"/>
      <c r="N6" s="52" t="str">
        <f aca="false">IF(COUNT(H6:M6)&lt;6,"",ROUND((H6*'Резиденты — уровни'!$C$19+I6*'Резиденты — уровни'!$C$20+J6*'Резиденты — уровни'!$C$21+K6*'Резиденты — уровни'!$C$22+L6*'Резиденты — уровни'!$C$23+M6*'Резиденты — уровни'!$C$24)/SUM('Резиденты — уровни'!$C$19:$C$24),2))</f>
        <v/>
      </c>
      <c r="O6" s="39" t="str">
        <f aca="false">IF(N6="","",IF(N6&gt;='Резиденты — уровни'!$C$27,"A",IF(N6&gt;='Резиденты — уровни'!$C$28,"B","C")))</f>
        <v/>
      </c>
      <c r="P6" s="38"/>
      <c r="Q6" s="29" t="str">
        <f aca="false">IF(P6&lt;&gt;"",P6,O6)</f>
        <v/>
      </c>
      <c r="R6" s="38"/>
      <c r="S6" s="38"/>
      <c r="T6" s="38"/>
      <c r="U6" s="45" t="str">
        <f aca="false">IF(OR(F6="",D6=""),"",IF(G6=2,SUMIFS('Матрица 2027'!$J$6:$J$53,'Матрица 2027'!$B$6:$B$53,F6,'Матрица 2027'!$C$6:$C$53,D6),SUMIFS('Матрица 2027'!$I$6:$I$53,'Матрица 2027'!$B$6:$B$53,F6,'Матрица 2027'!$C$6:$C$53,D6)))</f>
        <v/>
      </c>
      <c r="V6" s="38"/>
    </row>
    <row r="7" customFormat="false" ht="15" hidden="false" customHeight="false" outlineLevel="0" collapsed="false">
      <c r="B7" s="24" t="str">
        <f aca="false">IF(C7="","",ROW()-4)</f>
        <v/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40"/>
      <c r="N7" s="52" t="str">
        <f aca="false">IF(COUNT(H7:M7)&lt;6,"",ROUND((H7*'Резиденты — уровни'!$C$19+I7*'Резиденты — уровни'!$C$20+J7*'Резиденты — уровни'!$C$21+K7*'Резиденты — уровни'!$C$22+L7*'Резиденты — уровни'!$C$23+M7*'Резиденты — уровни'!$C$24)/SUM('Резиденты — уровни'!$C$19:$C$24),2))</f>
        <v/>
      </c>
      <c r="O7" s="39" t="str">
        <f aca="false">IF(N7="","",IF(N7&gt;='Резиденты — уровни'!$C$27,"A",IF(N7&gt;='Резиденты — уровни'!$C$28,"B","C")))</f>
        <v/>
      </c>
      <c r="P7" s="38"/>
      <c r="Q7" s="29" t="str">
        <f aca="false">IF(P7&lt;&gt;"",P7,O7)</f>
        <v/>
      </c>
      <c r="R7" s="38"/>
      <c r="S7" s="38"/>
      <c r="T7" s="38"/>
      <c r="U7" s="45" t="str">
        <f aca="false">IF(OR(F7="",D7=""),"",IF(G7=2,SUMIFS('Матрица 2027'!$J$6:$J$53,'Матрица 2027'!$B$6:$B$53,F7,'Матрица 2027'!$C$6:$C$53,D7),SUMIFS('Матрица 2027'!$I$6:$I$53,'Матрица 2027'!$B$6:$B$53,F7,'Матрица 2027'!$C$6:$C$53,D7)))</f>
        <v/>
      </c>
      <c r="V7" s="38"/>
    </row>
    <row r="8" customFormat="false" ht="15" hidden="false" customHeight="false" outlineLevel="0" collapsed="false">
      <c r="B8" s="24" t="str">
        <f aca="false">IF(C8="","",ROW()-4)</f>
        <v/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40"/>
      <c r="N8" s="52" t="str">
        <f aca="false">IF(COUNT(H8:M8)&lt;6,"",ROUND((H8*'Резиденты — уровни'!$C$19+I8*'Резиденты — уровни'!$C$20+J8*'Резиденты — уровни'!$C$21+K8*'Резиденты — уровни'!$C$22+L8*'Резиденты — уровни'!$C$23+M8*'Резиденты — уровни'!$C$24)/SUM('Резиденты — уровни'!$C$19:$C$24),2))</f>
        <v/>
      </c>
      <c r="O8" s="39" t="str">
        <f aca="false">IF(N8="","",IF(N8&gt;='Резиденты — уровни'!$C$27,"A",IF(N8&gt;='Резиденты — уровни'!$C$28,"B","C")))</f>
        <v/>
      </c>
      <c r="P8" s="38"/>
      <c r="Q8" s="29" t="str">
        <f aca="false">IF(P8&lt;&gt;"",P8,O8)</f>
        <v/>
      </c>
      <c r="R8" s="38"/>
      <c r="S8" s="38"/>
      <c r="T8" s="38"/>
      <c r="U8" s="45" t="str">
        <f aca="false">IF(OR(F8="",D8=""),"",IF(G8=2,SUMIFS('Матрица 2027'!$J$6:$J$53,'Матрица 2027'!$B$6:$B$53,F8,'Матрица 2027'!$C$6:$C$53,D8),SUMIFS('Матрица 2027'!$I$6:$I$53,'Матрица 2027'!$B$6:$B$53,F8,'Матрица 2027'!$C$6:$C$53,D8)))</f>
        <v/>
      </c>
      <c r="V8" s="38"/>
    </row>
    <row r="9" customFormat="false" ht="15" hidden="false" customHeight="false" outlineLevel="0" collapsed="false">
      <c r="B9" s="24" t="str">
        <f aca="false">IF(C9="","",ROW()-4)</f>
        <v/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40"/>
      <c r="N9" s="52" t="str">
        <f aca="false">IF(COUNT(H9:M9)&lt;6,"",ROUND((H9*'Резиденты — уровни'!$C$19+I9*'Резиденты — уровни'!$C$20+J9*'Резиденты — уровни'!$C$21+K9*'Резиденты — уровни'!$C$22+L9*'Резиденты — уровни'!$C$23+M9*'Резиденты — уровни'!$C$24)/SUM('Резиденты — уровни'!$C$19:$C$24),2))</f>
        <v/>
      </c>
      <c r="O9" s="39" t="str">
        <f aca="false">IF(N9="","",IF(N9&gt;='Резиденты — уровни'!$C$27,"A",IF(N9&gt;='Резиденты — уровни'!$C$28,"B","C")))</f>
        <v/>
      </c>
      <c r="P9" s="38"/>
      <c r="Q9" s="29" t="str">
        <f aca="false">IF(P9&lt;&gt;"",P9,O9)</f>
        <v/>
      </c>
      <c r="R9" s="38"/>
      <c r="S9" s="38"/>
      <c r="T9" s="38"/>
      <c r="U9" s="45" t="str">
        <f aca="false">IF(OR(F9="",D9=""),"",IF(G9=2,SUMIFS('Матрица 2027'!$J$6:$J$53,'Матрица 2027'!$B$6:$B$53,F9,'Матрица 2027'!$C$6:$C$53,D9),SUMIFS('Матрица 2027'!$I$6:$I$53,'Матрица 2027'!$B$6:$B$53,F9,'Матрица 2027'!$C$6:$C$53,D9)))</f>
        <v/>
      </c>
      <c r="V9" s="38"/>
    </row>
    <row r="10" customFormat="false" ht="15" hidden="false" customHeight="false" outlineLevel="0" collapsed="false">
      <c r="B10" s="24" t="str">
        <f aca="false">IF(C10="","",ROW()-4)</f>
        <v/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40"/>
      <c r="N10" s="52" t="str">
        <f aca="false">IF(COUNT(H10:M10)&lt;6,"",ROUND((H10*'Резиденты — уровни'!$C$19+I10*'Резиденты — уровни'!$C$20+J10*'Резиденты — уровни'!$C$21+K10*'Резиденты — уровни'!$C$22+L10*'Резиденты — уровни'!$C$23+M10*'Резиденты — уровни'!$C$24)/SUM('Резиденты — уровни'!$C$19:$C$24),2))</f>
        <v/>
      </c>
      <c r="O10" s="39" t="str">
        <f aca="false">IF(N10="","",IF(N10&gt;='Резиденты — уровни'!$C$27,"A",IF(N10&gt;='Резиденты — уровни'!$C$28,"B","C")))</f>
        <v/>
      </c>
      <c r="P10" s="38"/>
      <c r="Q10" s="29" t="str">
        <f aca="false">IF(P10&lt;&gt;"",P10,O10)</f>
        <v/>
      </c>
      <c r="R10" s="38"/>
      <c r="S10" s="38"/>
      <c r="T10" s="38"/>
      <c r="U10" s="45" t="str">
        <f aca="false">IF(OR(F10="",D10=""),"",IF(G10=2,SUMIFS('Матрица 2027'!$J$6:$J$53,'Матрица 2027'!$B$6:$B$53,F10,'Матрица 2027'!$C$6:$C$53,D10),SUMIFS('Матрица 2027'!$I$6:$I$53,'Матрица 2027'!$B$6:$B$53,F10,'Матрица 2027'!$C$6:$C$53,D10)))</f>
        <v/>
      </c>
      <c r="V10" s="38"/>
    </row>
    <row r="11" customFormat="false" ht="15" hidden="false" customHeight="false" outlineLevel="0" collapsed="false">
      <c r="B11" s="24" t="str">
        <f aca="false">IF(C11="","",ROW()-4)</f>
        <v/>
      </c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40"/>
      <c r="N11" s="52" t="str">
        <f aca="false">IF(COUNT(H11:M11)&lt;6,"",ROUND((H11*'Резиденты — уровни'!$C$19+I11*'Резиденты — уровни'!$C$20+J11*'Резиденты — уровни'!$C$21+K11*'Резиденты — уровни'!$C$22+L11*'Резиденты — уровни'!$C$23+M11*'Резиденты — уровни'!$C$24)/SUM('Резиденты — уровни'!$C$19:$C$24),2))</f>
        <v/>
      </c>
      <c r="O11" s="39" t="str">
        <f aca="false">IF(N11="","",IF(N11&gt;='Резиденты — уровни'!$C$27,"A",IF(N11&gt;='Резиденты — уровни'!$C$28,"B","C")))</f>
        <v/>
      </c>
      <c r="P11" s="38"/>
      <c r="Q11" s="29" t="str">
        <f aca="false">IF(P11&lt;&gt;"",P11,O11)</f>
        <v/>
      </c>
      <c r="R11" s="38"/>
      <c r="S11" s="38"/>
      <c r="T11" s="38"/>
      <c r="U11" s="45" t="str">
        <f aca="false">IF(OR(F11="",D11=""),"",IF(G11=2,SUMIFS('Матрица 2027'!$J$6:$J$53,'Матрица 2027'!$B$6:$B$53,F11,'Матрица 2027'!$C$6:$C$53,D11),SUMIFS('Матрица 2027'!$I$6:$I$53,'Матрица 2027'!$B$6:$B$53,F11,'Матрица 2027'!$C$6:$C$53,D11)))</f>
        <v/>
      </c>
      <c r="V11" s="38"/>
    </row>
    <row r="12" customFormat="false" ht="15" hidden="false" customHeight="false" outlineLevel="0" collapsed="false">
      <c r="B12" s="24" t="str">
        <f aca="false">IF(C12="","",ROW()-4)</f>
        <v/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40"/>
      <c r="N12" s="52" t="str">
        <f aca="false">IF(COUNT(H12:M12)&lt;6,"",ROUND((H12*'Резиденты — уровни'!$C$19+I12*'Резиденты — уровни'!$C$20+J12*'Резиденты — уровни'!$C$21+K12*'Резиденты — уровни'!$C$22+L12*'Резиденты — уровни'!$C$23+M12*'Резиденты — уровни'!$C$24)/SUM('Резиденты — уровни'!$C$19:$C$24),2))</f>
        <v/>
      </c>
      <c r="O12" s="39" t="str">
        <f aca="false">IF(N12="","",IF(N12&gt;='Резиденты — уровни'!$C$27,"A",IF(N12&gt;='Резиденты — уровни'!$C$28,"B","C")))</f>
        <v/>
      </c>
      <c r="P12" s="38"/>
      <c r="Q12" s="29" t="str">
        <f aca="false">IF(P12&lt;&gt;"",P12,O12)</f>
        <v/>
      </c>
      <c r="R12" s="38"/>
      <c r="S12" s="38"/>
      <c r="T12" s="38"/>
      <c r="U12" s="45" t="str">
        <f aca="false">IF(OR(F12="",D12=""),"",IF(G12=2,SUMIFS('Матрица 2027'!$J$6:$J$53,'Матрица 2027'!$B$6:$B$53,F12,'Матрица 2027'!$C$6:$C$53,D12),SUMIFS('Матрица 2027'!$I$6:$I$53,'Матрица 2027'!$B$6:$B$53,F12,'Матрица 2027'!$C$6:$C$53,D12)))</f>
        <v/>
      </c>
      <c r="V12" s="38"/>
    </row>
    <row r="13" customFormat="false" ht="15" hidden="false" customHeight="false" outlineLevel="0" collapsed="false">
      <c r="B13" s="24" t="str">
        <f aca="false">IF(C13="","",ROW()-4)</f>
        <v/>
      </c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40"/>
      <c r="N13" s="52" t="str">
        <f aca="false">IF(COUNT(H13:M13)&lt;6,"",ROUND((H13*'Резиденты — уровни'!$C$19+I13*'Резиденты — уровни'!$C$20+J13*'Резиденты — уровни'!$C$21+K13*'Резиденты — уровни'!$C$22+L13*'Резиденты — уровни'!$C$23+M13*'Резиденты — уровни'!$C$24)/SUM('Резиденты — уровни'!$C$19:$C$24),2))</f>
        <v/>
      </c>
      <c r="O13" s="39" t="str">
        <f aca="false">IF(N13="","",IF(N13&gt;='Резиденты — уровни'!$C$27,"A",IF(N13&gt;='Резиденты — уровни'!$C$28,"B","C")))</f>
        <v/>
      </c>
      <c r="P13" s="38"/>
      <c r="Q13" s="29" t="str">
        <f aca="false">IF(P13&lt;&gt;"",P13,O13)</f>
        <v/>
      </c>
      <c r="R13" s="38"/>
      <c r="S13" s="38"/>
      <c r="T13" s="38"/>
      <c r="U13" s="45" t="str">
        <f aca="false">IF(OR(F13="",D13=""),"",IF(G13=2,SUMIFS('Матрица 2027'!$J$6:$J$53,'Матрица 2027'!$B$6:$B$53,F13,'Матрица 2027'!$C$6:$C$53,D13),SUMIFS('Матрица 2027'!$I$6:$I$53,'Матрица 2027'!$B$6:$B$53,F13,'Матрица 2027'!$C$6:$C$53,D13)))</f>
        <v/>
      </c>
      <c r="V13" s="38"/>
    </row>
    <row r="14" customFormat="false" ht="15" hidden="false" customHeight="false" outlineLevel="0" collapsed="false">
      <c r="B14" s="24" t="str">
        <f aca="false">IF(C14="","",ROW()-4)</f>
        <v/>
      </c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40"/>
      <c r="N14" s="52" t="str">
        <f aca="false">IF(COUNT(H14:M14)&lt;6,"",ROUND((H14*'Резиденты — уровни'!$C$19+I14*'Резиденты — уровни'!$C$20+J14*'Резиденты — уровни'!$C$21+K14*'Резиденты — уровни'!$C$22+L14*'Резиденты — уровни'!$C$23+M14*'Резиденты — уровни'!$C$24)/SUM('Резиденты — уровни'!$C$19:$C$24),2))</f>
        <v/>
      </c>
      <c r="O14" s="39" t="str">
        <f aca="false">IF(N14="","",IF(N14&gt;='Резиденты — уровни'!$C$27,"A",IF(N14&gt;='Резиденты — уровни'!$C$28,"B","C")))</f>
        <v/>
      </c>
      <c r="P14" s="38"/>
      <c r="Q14" s="29" t="str">
        <f aca="false">IF(P14&lt;&gt;"",P14,O14)</f>
        <v/>
      </c>
      <c r="R14" s="38"/>
      <c r="S14" s="38"/>
      <c r="T14" s="38"/>
      <c r="U14" s="45" t="str">
        <f aca="false">IF(OR(F14="",D14=""),"",IF(G14=2,SUMIFS('Матрица 2027'!$J$6:$J$53,'Матрица 2027'!$B$6:$B$53,F14,'Матрица 2027'!$C$6:$C$53,D14),SUMIFS('Матрица 2027'!$I$6:$I$53,'Матрица 2027'!$B$6:$B$53,F14,'Матрица 2027'!$C$6:$C$53,D14)))</f>
        <v/>
      </c>
      <c r="V14" s="38"/>
    </row>
    <row r="15" customFormat="false" ht="15" hidden="false" customHeight="false" outlineLevel="0" collapsed="false">
      <c r="B15" s="24" t="str">
        <f aca="false">IF(C15="","",ROW()-4)</f>
        <v/>
      </c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40"/>
      <c r="N15" s="52" t="str">
        <f aca="false">IF(COUNT(H15:M15)&lt;6,"",ROUND((H15*'Резиденты — уровни'!$C$19+I15*'Резиденты — уровни'!$C$20+J15*'Резиденты — уровни'!$C$21+K15*'Резиденты — уровни'!$C$22+L15*'Резиденты — уровни'!$C$23+M15*'Резиденты — уровни'!$C$24)/SUM('Резиденты — уровни'!$C$19:$C$24),2))</f>
        <v/>
      </c>
      <c r="O15" s="39" t="str">
        <f aca="false">IF(N15="","",IF(N15&gt;='Резиденты — уровни'!$C$27,"A",IF(N15&gt;='Резиденты — уровни'!$C$28,"B","C")))</f>
        <v/>
      </c>
      <c r="P15" s="38"/>
      <c r="Q15" s="29" t="str">
        <f aca="false">IF(P15&lt;&gt;"",P15,O15)</f>
        <v/>
      </c>
      <c r="R15" s="38"/>
      <c r="S15" s="38"/>
      <c r="T15" s="38"/>
      <c r="U15" s="45" t="str">
        <f aca="false">IF(OR(F15="",D15=""),"",IF(G15=2,SUMIFS('Матрица 2027'!$J$6:$J$53,'Матрица 2027'!$B$6:$B$53,F15,'Матрица 2027'!$C$6:$C$53,D15),SUMIFS('Матрица 2027'!$I$6:$I$53,'Матрица 2027'!$B$6:$B$53,F15,'Матрица 2027'!$C$6:$C$53,D15)))</f>
        <v/>
      </c>
      <c r="V15" s="38"/>
    </row>
    <row r="16" customFormat="false" ht="15" hidden="false" customHeight="false" outlineLevel="0" collapsed="false">
      <c r="B16" s="24" t="str">
        <f aca="false">IF(C16="","",ROW()-4)</f>
        <v/>
      </c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40"/>
      <c r="N16" s="52" t="str">
        <f aca="false">IF(COUNT(H16:M16)&lt;6,"",ROUND((H16*'Резиденты — уровни'!$C$19+I16*'Резиденты — уровни'!$C$20+J16*'Резиденты — уровни'!$C$21+K16*'Резиденты — уровни'!$C$22+L16*'Резиденты — уровни'!$C$23+M16*'Резиденты — уровни'!$C$24)/SUM('Резиденты — уровни'!$C$19:$C$24),2))</f>
        <v/>
      </c>
      <c r="O16" s="39" t="str">
        <f aca="false">IF(N16="","",IF(N16&gt;='Резиденты — уровни'!$C$27,"A",IF(N16&gt;='Резиденты — уровни'!$C$28,"B","C")))</f>
        <v/>
      </c>
      <c r="P16" s="38"/>
      <c r="Q16" s="29" t="str">
        <f aca="false">IF(P16&lt;&gt;"",P16,O16)</f>
        <v/>
      </c>
      <c r="R16" s="38"/>
      <c r="S16" s="38"/>
      <c r="T16" s="38"/>
      <c r="U16" s="45" t="str">
        <f aca="false">IF(OR(F16="",D16=""),"",IF(G16=2,SUMIFS('Матрица 2027'!$J$6:$J$53,'Матрица 2027'!$B$6:$B$53,F16,'Матрица 2027'!$C$6:$C$53,D16),SUMIFS('Матрица 2027'!$I$6:$I$53,'Матрица 2027'!$B$6:$B$53,F16,'Матрица 2027'!$C$6:$C$53,D16)))</f>
        <v/>
      </c>
      <c r="V16" s="38"/>
    </row>
    <row r="17" customFormat="false" ht="15" hidden="false" customHeight="false" outlineLevel="0" collapsed="false">
      <c r="B17" s="24" t="str">
        <f aca="false">IF(C17="","",ROW()-4)</f>
        <v/>
      </c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40"/>
      <c r="N17" s="52" t="str">
        <f aca="false">IF(COUNT(H17:M17)&lt;6,"",ROUND((H17*'Резиденты — уровни'!$C$19+I17*'Резиденты — уровни'!$C$20+J17*'Резиденты — уровни'!$C$21+K17*'Резиденты — уровни'!$C$22+L17*'Резиденты — уровни'!$C$23+M17*'Резиденты — уровни'!$C$24)/SUM('Резиденты — уровни'!$C$19:$C$24),2))</f>
        <v/>
      </c>
      <c r="O17" s="39" t="str">
        <f aca="false">IF(N17="","",IF(N17&gt;='Резиденты — уровни'!$C$27,"A",IF(N17&gt;='Резиденты — уровни'!$C$28,"B","C")))</f>
        <v/>
      </c>
      <c r="P17" s="38"/>
      <c r="Q17" s="29" t="str">
        <f aca="false">IF(P17&lt;&gt;"",P17,O17)</f>
        <v/>
      </c>
      <c r="R17" s="38"/>
      <c r="S17" s="38"/>
      <c r="T17" s="38"/>
      <c r="U17" s="45" t="str">
        <f aca="false">IF(OR(F17="",D17=""),"",IF(G17=2,SUMIFS('Матрица 2027'!$J$6:$J$53,'Матрица 2027'!$B$6:$B$53,F17,'Матрица 2027'!$C$6:$C$53,D17),SUMIFS('Матрица 2027'!$I$6:$I$53,'Матрица 2027'!$B$6:$B$53,F17,'Матрица 2027'!$C$6:$C$53,D17)))</f>
        <v/>
      </c>
      <c r="V17" s="38"/>
    </row>
    <row r="18" customFormat="false" ht="15" hidden="false" customHeight="false" outlineLevel="0" collapsed="false">
      <c r="B18" s="24" t="str">
        <f aca="false">IF(C18="","",ROW()-4)</f>
        <v/>
      </c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40"/>
      <c r="N18" s="52" t="str">
        <f aca="false">IF(COUNT(H18:M18)&lt;6,"",ROUND((H18*'Резиденты — уровни'!$C$19+I18*'Резиденты — уровни'!$C$20+J18*'Резиденты — уровни'!$C$21+K18*'Резиденты — уровни'!$C$22+L18*'Резиденты — уровни'!$C$23+M18*'Резиденты — уровни'!$C$24)/SUM('Резиденты — уровни'!$C$19:$C$24),2))</f>
        <v/>
      </c>
      <c r="O18" s="39" t="str">
        <f aca="false">IF(N18="","",IF(N18&gt;='Резиденты — уровни'!$C$27,"A",IF(N18&gt;='Резиденты — уровни'!$C$28,"B","C")))</f>
        <v/>
      </c>
      <c r="P18" s="38"/>
      <c r="Q18" s="29" t="str">
        <f aca="false">IF(P18&lt;&gt;"",P18,O18)</f>
        <v/>
      </c>
      <c r="R18" s="38"/>
      <c r="S18" s="38"/>
      <c r="T18" s="38"/>
      <c r="U18" s="45" t="str">
        <f aca="false">IF(OR(F18="",D18=""),"",IF(G18=2,SUMIFS('Матрица 2027'!$J$6:$J$53,'Матрица 2027'!$B$6:$B$53,F18,'Матрица 2027'!$C$6:$C$53,D18),SUMIFS('Матрица 2027'!$I$6:$I$53,'Матрица 2027'!$B$6:$B$53,F18,'Матрица 2027'!$C$6:$C$53,D18)))</f>
        <v/>
      </c>
      <c r="V18" s="38"/>
    </row>
    <row r="19" customFormat="false" ht="15" hidden="false" customHeight="false" outlineLevel="0" collapsed="false">
      <c r="B19" s="24" t="str">
        <f aca="false">IF(C19="","",ROW()-4)</f>
        <v/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40"/>
      <c r="N19" s="52" t="str">
        <f aca="false">IF(COUNT(H19:M19)&lt;6,"",ROUND((H19*'Резиденты — уровни'!$C$19+I19*'Резиденты — уровни'!$C$20+J19*'Резиденты — уровни'!$C$21+K19*'Резиденты — уровни'!$C$22+L19*'Резиденты — уровни'!$C$23+M19*'Резиденты — уровни'!$C$24)/SUM('Резиденты — уровни'!$C$19:$C$24),2))</f>
        <v/>
      </c>
      <c r="O19" s="39" t="str">
        <f aca="false">IF(N19="","",IF(N19&gt;='Резиденты — уровни'!$C$27,"A",IF(N19&gt;='Резиденты — уровни'!$C$28,"B","C")))</f>
        <v/>
      </c>
      <c r="P19" s="38"/>
      <c r="Q19" s="29" t="str">
        <f aca="false">IF(P19&lt;&gt;"",P19,O19)</f>
        <v/>
      </c>
      <c r="R19" s="38"/>
      <c r="S19" s="38"/>
      <c r="T19" s="38"/>
      <c r="U19" s="45" t="str">
        <f aca="false">IF(OR(F19="",D19=""),"",IF(G19=2,SUMIFS('Матрица 2027'!$J$6:$J$53,'Матрица 2027'!$B$6:$B$53,F19,'Матрица 2027'!$C$6:$C$53,D19),SUMIFS('Матрица 2027'!$I$6:$I$53,'Матрица 2027'!$B$6:$B$53,F19,'Матрица 2027'!$C$6:$C$53,D19)))</f>
        <v/>
      </c>
      <c r="V19" s="38"/>
    </row>
    <row r="20" customFormat="false" ht="15" hidden="false" customHeight="false" outlineLevel="0" collapsed="false">
      <c r="B20" s="24" t="str">
        <f aca="false">IF(C20="","",ROW()-4)</f>
        <v/>
      </c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40"/>
      <c r="N20" s="52" t="str">
        <f aca="false">IF(COUNT(H20:M20)&lt;6,"",ROUND((H20*'Резиденты — уровни'!$C$19+I20*'Резиденты — уровни'!$C$20+J20*'Резиденты — уровни'!$C$21+K20*'Резиденты — уровни'!$C$22+L20*'Резиденты — уровни'!$C$23+M20*'Резиденты — уровни'!$C$24)/SUM('Резиденты — уровни'!$C$19:$C$24),2))</f>
        <v/>
      </c>
      <c r="O20" s="39" t="str">
        <f aca="false">IF(N20="","",IF(N20&gt;='Резиденты — уровни'!$C$27,"A",IF(N20&gt;='Резиденты — уровни'!$C$28,"B","C")))</f>
        <v/>
      </c>
      <c r="P20" s="38"/>
      <c r="Q20" s="29" t="str">
        <f aca="false">IF(P20&lt;&gt;"",P20,O20)</f>
        <v/>
      </c>
      <c r="R20" s="38"/>
      <c r="S20" s="38"/>
      <c r="T20" s="38"/>
      <c r="U20" s="45" t="str">
        <f aca="false">IF(OR(F20="",D20=""),"",IF(G20=2,SUMIFS('Матрица 2027'!$J$6:$J$53,'Матрица 2027'!$B$6:$B$53,F20,'Матрица 2027'!$C$6:$C$53,D20),SUMIFS('Матрица 2027'!$I$6:$I$53,'Матрица 2027'!$B$6:$B$53,F20,'Матрица 2027'!$C$6:$C$53,D20)))</f>
        <v/>
      </c>
      <c r="V20" s="38"/>
    </row>
    <row r="21" customFormat="false" ht="15" hidden="false" customHeight="false" outlineLevel="0" collapsed="false">
      <c r="B21" s="24" t="str">
        <f aca="false">IF(C21="","",ROW()-4)</f>
        <v/>
      </c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40"/>
      <c r="N21" s="52" t="str">
        <f aca="false">IF(COUNT(H21:M21)&lt;6,"",ROUND((H21*'Резиденты — уровни'!$C$19+I21*'Резиденты — уровни'!$C$20+J21*'Резиденты — уровни'!$C$21+K21*'Резиденты — уровни'!$C$22+L21*'Резиденты — уровни'!$C$23+M21*'Резиденты — уровни'!$C$24)/SUM('Резиденты — уровни'!$C$19:$C$24),2))</f>
        <v/>
      </c>
      <c r="O21" s="39" t="str">
        <f aca="false">IF(N21="","",IF(N21&gt;='Резиденты — уровни'!$C$27,"A",IF(N21&gt;='Резиденты — уровни'!$C$28,"B","C")))</f>
        <v/>
      </c>
      <c r="P21" s="38"/>
      <c r="Q21" s="29" t="str">
        <f aca="false">IF(P21&lt;&gt;"",P21,O21)</f>
        <v/>
      </c>
      <c r="R21" s="38"/>
      <c r="S21" s="38"/>
      <c r="T21" s="38"/>
      <c r="U21" s="45" t="str">
        <f aca="false">IF(OR(F21="",D21=""),"",IF(G21=2,SUMIFS('Матрица 2027'!$J$6:$J$53,'Матрица 2027'!$B$6:$B$53,F21,'Матрица 2027'!$C$6:$C$53,D21),SUMIFS('Матрица 2027'!$I$6:$I$53,'Матрица 2027'!$B$6:$B$53,F21,'Матрица 2027'!$C$6:$C$53,D21)))</f>
        <v/>
      </c>
      <c r="V21" s="38"/>
    </row>
    <row r="22" customFormat="false" ht="15" hidden="false" customHeight="false" outlineLevel="0" collapsed="false">
      <c r="B22" s="24" t="str">
        <f aca="false">IF(C22="","",ROW()-4)</f>
        <v/>
      </c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40"/>
      <c r="N22" s="52" t="str">
        <f aca="false">IF(COUNT(H22:M22)&lt;6,"",ROUND((H22*'Резиденты — уровни'!$C$19+I22*'Резиденты — уровни'!$C$20+J22*'Резиденты — уровни'!$C$21+K22*'Резиденты — уровни'!$C$22+L22*'Резиденты — уровни'!$C$23+M22*'Резиденты — уровни'!$C$24)/SUM('Резиденты — уровни'!$C$19:$C$24),2))</f>
        <v/>
      </c>
      <c r="O22" s="39" t="str">
        <f aca="false">IF(N22="","",IF(N22&gt;='Резиденты — уровни'!$C$27,"A",IF(N22&gt;='Резиденты — уровни'!$C$28,"B","C")))</f>
        <v/>
      </c>
      <c r="P22" s="38"/>
      <c r="Q22" s="29" t="str">
        <f aca="false">IF(P22&lt;&gt;"",P22,O22)</f>
        <v/>
      </c>
      <c r="R22" s="38"/>
      <c r="S22" s="38"/>
      <c r="T22" s="38"/>
      <c r="U22" s="45" t="str">
        <f aca="false">IF(OR(F22="",D22=""),"",IF(G22=2,SUMIFS('Матрица 2027'!$J$6:$J$53,'Матрица 2027'!$B$6:$B$53,F22,'Матрица 2027'!$C$6:$C$53,D22),SUMIFS('Матрица 2027'!$I$6:$I$53,'Матрица 2027'!$B$6:$B$53,F22,'Матрица 2027'!$C$6:$C$53,D22)))</f>
        <v/>
      </c>
      <c r="V22" s="38"/>
    </row>
    <row r="23" customFormat="false" ht="15" hidden="false" customHeight="false" outlineLevel="0" collapsed="false">
      <c r="B23" s="24" t="str">
        <f aca="false">IF(C23="","",ROW()-4)</f>
        <v/>
      </c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40"/>
      <c r="N23" s="52" t="str">
        <f aca="false">IF(COUNT(H23:M23)&lt;6,"",ROUND((H23*'Резиденты — уровни'!$C$19+I23*'Резиденты — уровни'!$C$20+J23*'Резиденты — уровни'!$C$21+K23*'Резиденты — уровни'!$C$22+L23*'Резиденты — уровни'!$C$23+M23*'Резиденты — уровни'!$C$24)/SUM('Резиденты — уровни'!$C$19:$C$24),2))</f>
        <v/>
      </c>
      <c r="O23" s="39" t="str">
        <f aca="false">IF(N23="","",IF(N23&gt;='Резиденты — уровни'!$C$27,"A",IF(N23&gt;='Резиденты — уровни'!$C$28,"B","C")))</f>
        <v/>
      </c>
      <c r="P23" s="38"/>
      <c r="Q23" s="29" t="str">
        <f aca="false">IF(P23&lt;&gt;"",P23,O23)</f>
        <v/>
      </c>
      <c r="R23" s="38"/>
      <c r="S23" s="38"/>
      <c r="T23" s="38"/>
      <c r="U23" s="45" t="str">
        <f aca="false">IF(OR(F23="",D23=""),"",IF(G23=2,SUMIFS('Матрица 2027'!$J$6:$J$53,'Матрица 2027'!$B$6:$B$53,F23,'Матрица 2027'!$C$6:$C$53,D23),SUMIFS('Матрица 2027'!$I$6:$I$53,'Матрица 2027'!$B$6:$B$53,F23,'Матрица 2027'!$C$6:$C$53,D23)))</f>
        <v/>
      </c>
      <c r="V23" s="38"/>
    </row>
    <row r="24" customFormat="false" ht="15" hidden="false" customHeight="false" outlineLevel="0" collapsed="false">
      <c r="B24" s="24" t="str">
        <f aca="false">IF(C24="","",ROW()-4)</f>
        <v/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40"/>
      <c r="N24" s="52" t="str">
        <f aca="false">IF(COUNT(H24:M24)&lt;6,"",ROUND((H24*'Резиденты — уровни'!$C$19+I24*'Резиденты — уровни'!$C$20+J24*'Резиденты — уровни'!$C$21+K24*'Резиденты — уровни'!$C$22+L24*'Резиденты — уровни'!$C$23+M24*'Резиденты — уровни'!$C$24)/SUM('Резиденты — уровни'!$C$19:$C$24),2))</f>
        <v/>
      </c>
      <c r="O24" s="39" t="str">
        <f aca="false">IF(N24="","",IF(N24&gt;='Резиденты — уровни'!$C$27,"A",IF(N24&gt;='Резиденты — уровни'!$C$28,"B","C")))</f>
        <v/>
      </c>
      <c r="P24" s="38"/>
      <c r="Q24" s="29" t="str">
        <f aca="false">IF(P24&lt;&gt;"",P24,O24)</f>
        <v/>
      </c>
      <c r="R24" s="38"/>
      <c r="S24" s="38"/>
      <c r="T24" s="38"/>
      <c r="U24" s="45" t="str">
        <f aca="false">IF(OR(F24="",D24=""),"",IF(G24=2,SUMIFS('Матрица 2027'!$J$6:$J$53,'Матрица 2027'!$B$6:$B$53,F24,'Матрица 2027'!$C$6:$C$53,D24),SUMIFS('Матрица 2027'!$I$6:$I$53,'Матрица 2027'!$B$6:$B$53,F24,'Матрица 2027'!$C$6:$C$53,D24)))</f>
        <v/>
      </c>
      <c r="V24" s="38"/>
    </row>
    <row r="25" customFormat="false" ht="15" hidden="false" customHeight="false" outlineLevel="0" collapsed="false">
      <c r="B25" s="24" t="str">
        <f aca="false">IF(C25="","",ROW()-4)</f>
        <v/>
      </c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40"/>
      <c r="N25" s="52" t="str">
        <f aca="false">IF(COUNT(H25:M25)&lt;6,"",ROUND((H25*'Резиденты — уровни'!$C$19+I25*'Резиденты — уровни'!$C$20+J25*'Резиденты — уровни'!$C$21+K25*'Резиденты — уровни'!$C$22+L25*'Резиденты — уровни'!$C$23+M25*'Резиденты — уровни'!$C$24)/SUM('Резиденты — уровни'!$C$19:$C$24),2))</f>
        <v/>
      </c>
      <c r="O25" s="39" t="str">
        <f aca="false">IF(N25="","",IF(N25&gt;='Резиденты — уровни'!$C$27,"A",IF(N25&gt;='Резиденты — уровни'!$C$28,"B","C")))</f>
        <v/>
      </c>
      <c r="P25" s="38"/>
      <c r="Q25" s="29" t="str">
        <f aca="false">IF(P25&lt;&gt;"",P25,O25)</f>
        <v/>
      </c>
      <c r="R25" s="38"/>
      <c r="S25" s="38"/>
      <c r="T25" s="38"/>
      <c r="U25" s="45" t="str">
        <f aca="false">IF(OR(F25="",D25=""),"",IF(G25=2,SUMIFS('Матрица 2027'!$J$6:$J$53,'Матрица 2027'!$B$6:$B$53,F25,'Матрица 2027'!$C$6:$C$53,D25),SUMIFS('Матрица 2027'!$I$6:$I$53,'Матрица 2027'!$B$6:$B$53,F25,'Матрица 2027'!$C$6:$C$53,D25)))</f>
        <v/>
      </c>
      <c r="V25" s="38"/>
    </row>
    <row r="26" customFormat="false" ht="15" hidden="false" customHeight="false" outlineLevel="0" collapsed="false">
      <c r="B26" s="24" t="str">
        <f aca="false">IF(C26="","",ROW()-4)</f>
        <v/>
      </c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40"/>
      <c r="N26" s="52" t="str">
        <f aca="false">IF(COUNT(H26:M26)&lt;6,"",ROUND((H26*'Резиденты — уровни'!$C$19+I26*'Резиденты — уровни'!$C$20+J26*'Резиденты — уровни'!$C$21+K26*'Резиденты — уровни'!$C$22+L26*'Резиденты — уровни'!$C$23+M26*'Резиденты — уровни'!$C$24)/SUM('Резиденты — уровни'!$C$19:$C$24),2))</f>
        <v/>
      </c>
      <c r="O26" s="39" t="str">
        <f aca="false">IF(N26="","",IF(N26&gt;='Резиденты — уровни'!$C$27,"A",IF(N26&gt;='Резиденты — уровни'!$C$28,"B","C")))</f>
        <v/>
      </c>
      <c r="P26" s="38"/>
      <c r="Q26" s="29" t="str">
        <f aca="false">IF(P26&lt;&gt;"",P26,O26)</f>
        <v/>
      </c>
      <c r="R26" s="38"/>
      <c r="S26" s="38"/>
      <c r="T26" s="38"/>
      <c r="U26" s="45" t="str">
        <f aca="false">IF(OR(F26="",D26=""),"",IF(G26=2,SUMIFS('Матрица 2027'!$J$6:$J$53,'Матрица 2027'!$B$6:$B$53,F26,'Матрица 2027'!$C$6:$C$53,D26),SUMIFS('Матрица 2027'!$I$6:$I$53,'Матрица 2027'!$B$6:$B$53,F26,'Матрица 2027'!$C$6:$C$53,D26)))</f>
        <v/>
      </c>
      <c r="V26" s="38"/>
    </row>
    <row r="27" customFormat="false" ht="15" hidden="false" customHeight="false" outlineLevel="0" collapsed="false">
      <c r="B27" s="24" t="str">
        <f aca="false">IF(C27="","",ROW()-4)</f>
        <v/>
      </c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40"/>
      <c r="N27" s="52" t="str">
        <f aca="false">IF(COUNT(H27:M27)&lt;6,"",ROUND((H27*'Резиденты — уровни'!$C$19+I27*'Резиденты — уровни'!$C$20+J27*'Резиденты — уровни'!$C$21+K27*'Резиденты — уровни'!$C$22+L27*'Резиденты — уровни'!$C$23+M27*'Резиденты — уровни'!$C$24)/SUM('Резиденты — уровни'!$C$19:$C$24),2))</f>
        <v/>
      </c>
      <c r="O27" s="39" t="str">
        <f aca="false">IF(N27="","",IF(N27&gt;='Резиденты — уровни'!$C$27,"A",IF(N27&gt;='Резиденты — уровни'!$C$28,"B","C")))</f>
        <v/>
      </c>
      <c r="P27" s="38"/>
      <c r="Q27" s="29" t="str">
        <f aca="false">IF(P27&lt;&gt;"",P27,O27)</f>
        <v/>
      </c>
      <c r="R27" s="38"/>
      <c r="S27" s="38"/>
      <c r="T27" s="38"/>
      <c r="U27" s="45" t="str">
        <f aca="false">IF(OR(F27="",D27=""),"",IF(G27=2,SUMIFS('Матрица 2027'!$J$6:$J$53,'Матрица 2027'!$B$6:$B$53,F27,'Матрица 2027'!$C$6:$C$53,D27),SUMIFS('Матрица 2027'!$I$6:$I$53,'Матрица 2027'!$B$6:$B$53,F27,'Матрица 2027'!$C$6:$C$53,D27)))</f>
        <v/>
      </c>
      <c r="V27" s="38"/>
    </row>
    <row r="28" customFormat="false" ht="15" hidden="false" customHeight="false" outlineLevel="0" collapsed="false">
      <c r="B28" s="24" t="str">
        <f aca="false">IF(C28="","",ROW()-4)</f>
        <v/>
      </c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40"/>
      <c r="N28" s="52" t="str">
        <f aca="false">IF(COUNT(H28:M28)&lt;6,"",ROUND((H28*'Резиденты — уровни'!$C$19+I28*'Резиденты — уровни'!$C$20+J28*'Резиденты — уровни'!$C$21+K28*'Резиденты — уровни'!$C$22+L28*'Резиденты — уровни'!$C$23+M28*'Резиденты — уровни'!$C$24)/SUM('Резиденты — уровни'!$C$19:$C$24),2))</f>
        <v/>
      </c>
      <c r="O28" s="39" t="str">
        <f aca="false">IF(N28="","",IF(N28&gt;='Резиденты — уровни'!$C$27,"A",IF(N28&gt;='Резиденты — уровни'!$C$28,"B","C")))</f>
        <v/>
      </c>
      <c r="P28" s="38"/>
      <c r="Q28" s="29" t="str">
        <f aca="false">IF(P28&lt;&gt;"",P28,O28)</f>
        <v/>
      </c>
      <c r="R28" s="38"/>
      <c r="S28" s="38"/>
      <c r="T28" s="38"/>
      <c r="U28" s="45" t="str">
        <f aca="false">IF(OR(F28="",D28=""),"",IF(G28=2,SUMIFS('Матрица 2027'!$J$6:$J$53,'Матрица 2027'!$B$6:$B$53,F28,'Матрица 2027'!$C$6:$C$53,D28),SUMIFS('Матрица 2027'!$I$6:$I$53,'Матрица 2027'!$B$6:$B$53,F28,'Матрица 2027'!$C$6:$C$53,D28)))</f>
        <v/>
      </c>
      <c r="V28" s="38"/>
    </row>
    <row r="29" customFormat="false" ht="15" hidden="false" customHeight="false" outlineLevel="0" collapsed="false">
      <c r="B29" s="24" t="str">
        <f aca="false">IF(C29="","",ROW()-4)</f>
        <v/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40"/>
      <c r="N29" s="52" t="str">
        <f aca="false">IF(COUNT(H29:M29)&lt;6,"",ROUND((H29*'Резиденты — уровни'!$C$19+I29*'Резиденты — уровни'!$C$20+J29*'Резиденты — уровни'!$C$21+K29*'Резиденты — уровни'!$C$22+L29*'Резиденты — уровни'!$C$23+M29*'Резиденты — уровни'!$C$24)/SUM('Резиденты — уровни'!$C$19:$C$24),2))</f>
        <v/>
      </c>
      <c r="O29" s="39" t="str">
        <f aca="false">IF(N29="","",IF(N29&gt;='Резиденты — уровни'!$C$27,"A",IF(N29&gt;='Резиденты — уровни'!$C$28,"B","C")))</f>
        <v/>
      </c>
      <c r="P29" s="38"/>
      <c r="Q29" s="29" t="str">
        <f aca="false">IF(P29&lt;&gt;"",P29,O29)</f>
        <v/>
      </c>
      <c r="R29" s="38"/>
      <c r="S29" s="38"/>
      <c r="T29" s="38"/>
      <c r="U29" s="45" t="str">
        <f aca="false">IF(OR(F29="",D29=""),"",IF(G29=2,SUMIFS('Матрица 2027'!$J$6:$J$53,'Матрица 2027'!$B$6:$B$53,F29,'Матрица 2027'!$C$6:$C$53,D29),SUMIFS('Матрица 2027'!$I$6:$I$53,'Матрица 2027'!$B$6:$B$53,F29,'Матрица 2027'!$C$6:$C$53,D29)))</f>
        <v/>
      </c>
      <c r="V29" s="38"/>
    </row>
    <row r="30" customFormat="false" ht="15" hidden="false" customHeight="false" outlineLevel="0" collapsed="false">
      <c r="B30" s="24" t="str">
        <f aca="false">IF(C30="","",ROW()-4)</f>
        <v/>
      </c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40"/>
      <c r="N30" s="52" t="str">
        <f aca="false">IF(COUNT(H30:M30)&lt;6,"",ROUND((H30*'Резиденты — уровни'!$C$19+I30*'Резиденты — уровни'!$C$20+J30*'Резиденты — уровни'!$C$21+K30*'Резиденты — уровни'!$C$22+L30*'Резиденты — уровни'!$C$23+M30*'Резиденты — уровни'!$C$24)/SUM('Резиденты — уровни'!$C$19:$C$24),2))</f>
        <v/>
      </c>
      <c r="O30" s="39" t="str">
        <f aca="false">IF(N30="","",IF(N30&gt;='Резиденты — уровни'!$C$27,"A",IF(N30&gt;='Резиденты — уровни'!$C$28,"B","C")))</f>
        <v/>
      </c>
      <c r="P30" s="38"/>
      <c r="Q30" s="29" t="str">
        <f aca="false">IF(P30&lt;&gt;"",P30,O30)</f>
        <v/>
      </c>
      <c r="R30" s="38"/>
      <c r="S30" s="38"/>
      <c r="T30" s="38"/>
      <c r="U30" s="45" t="str">
        <f aca="false">IF(OR(F30="",D30=""),"",IF(G30=2,SUMIFS('Матрица 2027'!$J$6:$J$53,'Матрица 2027'!$B$6:$B$53,F30,'Матрица 2027'!$C$6:$C$53,D30),SUMIFS('Матрица 2027'!$I$6:$I$53,'Матрица 2027'!$B$6:$B$53,F30,'Матрица 2027'!$C$6:$C$53,D30)))</f>
        <v/>
      </c>
      <c r="V30" s="38"/>
    </row>
    <row r="31" customFormat="false" ht="15" hidden="false" customHeight="false" outlineLevel="0" collapsed="false">
      <c r="B31" s="24" t="str">
        <f aca="false">IF(C31="","",ROW()-4)</f>
        <v/>
      </c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40"/>
      <c r="N31" s="52" t="str">
        <f aca="false">IF(COUNT(H31:M31)&lt;6,"",ROUND((H31*'Резиденты — уровни'!$C$19+I31*'Резиденты — уровни'!$C$20+J31*'Резиденты — уровни'!$C$21+K31*'Резиденты — уровни'!$C$22+L31*'Резиденты — уровни'!$C$23+M31*'Резиденты — уровни'!$C$24)/SUM('Резиденты — уровни'!$C$19:$C$24),2))</f>
        <v/>
      </c>
      <c r="O31" s="39" t="str">
        <f aca="false">IF(N31="","",IF(N31&gt;='Резиденты — уровни'!$C$27,"A",IF(N31&gt;='Резиденты — уровни'!$C$28,"B","C")))</f>
        <v/>
      </c>
      <c r="P31" s="38"/>
      <c r="Q31" s="29" t="str">
        <f aca="false">IF(P31&lt;&gt;"",P31,O31)</f>
        <v/>
      </c>
      <c r="R31" s="38"/>
      <c r="S31" s="38"/>
      <c r="T31" s="38"/>
      <c r="U31" s="45" t="str">
        <f aca="false">IF(OR(F31="",D31=""),"",IF(G31=2,SUMIFS('Матрица 2027'!$J$6:$J$53,'Матрица 2027'!$B$6:$B$53,F31,'Матрица 2027'!$C$6:$C$53,D31),SUMIFS('Матрица 2027'!$I$6:$I$53,'Матрица 2027'!$B$6:$B$53,F31,'Матрица 2027'!$C$6:$C$53,D31)))</f>
        <v/>
      </c>
      <c r="V31" s="38"/>
    </row>
    <row r="32" customFormat="false" ht="15" hidden="false" customHeight="false" outlineLevel="0" collapsed="false">
      <c r="B32" s="24" t="str">
        <f aca="false">IF(C32="","",ROW()-4)</f>
        <v/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40"/>
      <c r="N32" s="52" t="str">
        <f aca="false">IF(COUNT(H32:M32)&lt;6,"",ROUND((H32*'Резиденты — уровни'!$C$19+I32*'Резиденты — уровни'!$C$20+J32*'Резиденты — уровни'!$C$21+K32*'Резиденты — уровни'!$C$22+L32*'Резиденты — уровни'!$C$23+M32*'Резиденты — уровни'!$C$24)/SUM('Резиденты — уровни'!$C$19:$C$24),2))</f>
        <v/>
      </c>
      <c r="O32" s="39" t="str">
        <f aca="false">IF(N32="","",IF(N32&gt;='Резиденты — уровни'!$C$27,"A",IF(N32&gt;='Резиденты — уровни'!$C$28,"B","C")))</f>
        <v/>
      </c>
      <c r="P32" s="38"/>
      <c r="Q32" s="29" t="str">
        <f aca="false">IF(P32&lt;&gt;"",P32,O32)</f>
        <v/>
      </c>
      <c r="R32" s="38"/>
      <c r="S32" s="38"/>
      <c r="T32" s="38"/>
      <c r="U32" s="45" t="str">
        <f aca="false">IF(OR(F32="",D32=""),"",IF(G32=2,SUMIFS('Матрица 2027'!$J$6:$J$53,'Матрица 2027'!$B$6:$B$53,F32,'Матрица 2027'!$C$6:$C$53,D32),SUMIFS('Матрица 2027'!$I$6:$I$53,'Матрица 2027'!$B$6:$B$53,F32,'Матрица 2027'!$C$6:$C$53,D32)))</f>
        <v/>
      </c>
      <c r="V32" s="38"/>
    </row>
    <row r="33" customFormat="false" ht="15" hidden="false" customHeight="false" outlineLevel="0" collapsed="false">
      <c r="B33" s="24" t="str">
        <f aca="false">IF(C33="","",ROW()-4)</f>
        <v/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40"/>
      <c r="N33" s="52" t="str">
        <f aca="false">IF(COUNT(H33:M33)&lt;6,"",ROUND((H33*'Резиденты — уровни'!$C$19+I33*'Резиденты — уровни'!$C$20+J33*'Резиденты — уровни'!$C$21+K33*'Резиденты — уровни'!$C$22+L33*'Резиденты — уровни'!$C$23+M33*'Резиденты — уровни'!$C$24)/SUM('Резиденты — уровни'!$C$19:$C$24),2))</f>
        <v/>
      </c>
      <c r="O33" s="39" t="str">
        <f aca="false">IF(N33="","",IF(N33&gt;='Резиденты — уровни'!$C$27,"A",IF(N33&gt;='Резиденты — уровни'!$C$28,"B","C")))</f>
        <v/>
      </c>
      <c r="P33" s="38"/>
      <c r="Q33" s="29" t="str">
        <f aca="false">IF(P33&lt;&gt;"",P33,O33)</f>
        <v/>
      </c>
      <c r="R33" s="38"/>
      <c r="S33" s="38"/>
      <c r="T33" s="38"/>
      <c r="U33" s="45" t="str">
        <f aca="false">IF(OR(F33="",D33=""),"",IF(G33=2,SUMIFS('Матрица 2027'!$J$6:$J$53,'Матрица 2027'!$B$6:$B$53,F33,'Матрица 2027'!$C$6:$C$53,D33),SUMIFS('Матрица 2027'!$I$6:$I$53,'Матрица 2027'!$B$6:$B$53,F33,'Матрица 2027'!$C$6:$C$53,D33)))</f>
        <v/>
      </c>
      <c r="V33" s="38"/>
    </row>
    <row r="34" customFormat="false" ht="15" hidden="false" customHeight="false" outlineLevel="0" collapsed="false">
      <c r="B34" s="24" t="str">
        <f aca="false">IF(C34="","",ROW()-4)</f>
        <v/>
      </c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40"/>
      <c r="N34" s="52" t="str">
        <f aca="false">IF(COUNT(H34:M34)&lt;6,"",ROUND((H34*'Резиденты — уровни'!$C$19+I34*'Резиденты — уровни'!$C$20+J34*'Резиденты — уровни'!$C$21+K34*'Резиденты — уровни'!$C$22+L34*'Резиденты — уровни'!$C$23+M34*'Резиденты — уровни'!$C$24)/SUM('Резиденты — уровни'!$C$19:$C$24),2))</f>
        <v/>
      </c>
      <c r="O34" s="39" t="str">
        <f aca="false">IF(N34="","",IF(N34&gt;='Резиденты — уровни'!$C$27,"A",IF(N34&gt;='Резиденты — уровни'!$C$28,"B","C")))</f>
        <v/>
      </c>
      <c r="P34" s="38"/>
      <c r="Q34" s="29" t="str">
        <f aca="false">IF(P34&lt;&gt;"",P34,O34)</f>
        <v/>
      </c>
      <c r="R34" s="38"/>
      <c r="S34" s="38"/>
      <c r="T34" s="38"/>
      <c r="U34" s="45" t="str">
        <f aca="false">IF(OR(F34="",D34=""),"",IF(G34=2,SUMIFS('Матрица 2027'!$J$6:$J$53,'Матрица 2027'!$B$6:$B$53,F34,'Матрица 2027'!$C$6:$C$53,D34),SUMIFS('Матрица 2027'!$I$6:$I$53,'Матрица 2027'!$B$6:$B$53,F34,'Матрица 2027'!$C$6:$C$53,D34)))</f>
        <v/>
      </c>
      <c r="V34" s="38"/>
    </row>
    <row r="35" customFormat="false" ht="15" hidden="false" customHeight="false" outlineLevel="0" collapsed="false">
      <c r="B35" s="24" t="str">
        <f aca="false">IF(C35="","",ROW()-4)</f>
        <v/>
      </c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40"/>
      <c r="N35" s="52" t="str">
        <f aca="false">IF(COUNT(H35:M35)&lt;6,"",ROUND((H35*'Резиденты — уровни'!$C$19+I35*'Резиденты — уровни'!$C$20+J35*'Резиденты — уровни'!$C$21+K35*'Резиденты — уровни'!$C$22+L35*'Резиденты — уровни'!$C$23+M35*'Резиденты — уровни'!$C$24)/SUM('Резиденты — уровни'!$C$19:$C$24),2))</f>
        <v/>
      </c>
      <c r="O35" s="39" t="str">
        <f aca="false">IF(N35="","",IF(N35&gt;='Резиденты — уровни'!$C$27,"A",IF(N35&gt;='Резиденты — уровни'!$C$28,"B","C")))</f>
        <v/>
      </c>
      <c r="P35" s="38"/>
      <c r="Q35" s="29" t="str">
        <f aca="false">IF(P35&lt;&gt;"",P35,O35)</f>
        <v/>
      </c>
      <c r="R35" s="38"/>
      <c r="S35" s="38"/>
      <c r="T35" s="38"/>
      <c r="U35" s="45" t="str">
        <f aca="false">IF(OR(F35="",D35=""),"",IF(G35=2,SUMIFS('Матрица 2027'!$J$6:$J$53,'Матрица 2027'!$B$6:$B$53,F35,'Матрица 2027'!$C$6:$C$53,D35),SUMIFS('Матрица 2027'!$I$6:$I$53,'Матрица 2027'!$B$6:$B$53,F35,'Матрица 2027'!$C$6:$C$53,D35)))</f>
        <v/>
      </c>
      <c r="V35" s="38"/>
    </row>
    <row r="36" customFormat="false" ht="15" hidden="false" customHeight="false" outlineLevel="0" collapsed="false">
      <c r="B36" s="24" t="str">
        <f aca="false">IF(C36="","",ROW()-4)</f>
        <v/>
      </c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40"/>
      <c r="N36" s="52" t="str">
        <f aca="false">IF(COUNT(H36:M36)&lt;6,"",ROUND((H36*'Резиденты — уровни'!$C$19+I36*'Резиденты — уровни'!$C$20+J36*'Резиденты — уровни'!$C$21+K36*'Резиденты — уровни'!$C$22+L36*'Резиденты — уровни'!$C$23+M36*'Резиденты — уровни'!$C$24)/SUM('Резиденты — уровни'!$C$19:$C$24),2))</f>
        <v/>
      </c>
      <c r="O36" s="39" t="str">
        <f aca="false">IF(N36="","",IF(N36&gt;='Резиденты — уровни'!$C$27,"A",IF(N36&gt;='Резиденты — уровни'!$C$28,"B","C")))</f>
        <v/>
      </c>
      <c r="P36" s="38"/>
      <c r="Q36" s="29" t="str">
        <f aca="false">IF(P36&lt;&gt;"",P36,O36)</f>
        <v/>
      </c>
      <c r="R36" s="38"/>
      <c r="S36" s="38"/>
      <c r="T36" s="38"/>
      <c r="U36" s="45" t="str">
        <f aca="false">IF(OR(F36="",D36=""),"",IF(G36=2,SUMIFS('Матрица 2027'!$J$6:$J$53,'Матрица 2027'!$B$6:$B$53,F36,'Матрица 2027'!$C$6:$C$53,D36),SUMIFS('Матрица 2027'!$I$6:$I$53,'Матрица 2027'!$B$6:$B$53,F36,'Матрица 2027'!$C$6:$C$53,D36)))</f>
        <v/>
      </c>
      <c r="V36" s="38"/>
    </row>
    <row r="37" customFormat="false" ht="15" hidden="false" customHeight="false" outlineLevel="0" collapsed="false">
      <c r="B37" s="24" t="str">
        <f aca="false">IF(C37="","",ROW()-4)</f>
        <v/>
      </c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40"/>
      <c r="N37" s="52" t="str">
        <f aca="false">IF(COUNT(H37:M37)&lt;6,"",ROUND((H37*'Резиденты — уровни'!$C$19+I37*'Резиденты — уровни'!$C$20+J37*'Резиденты — уровни'!$C$21+K37*'Резиденты — уровни'!$C$22+L37*'Резиденты — уровни'!$C$23+M37*'Резиденты — уровни'!$C$24)/SUM('Резиденты — уровни'!$C$19:$C$24),2))</f>
        <v/>
      </c>
      <c r="O37" s="39" t="str">
        <f aca="false">IF(N37="","",IF(N37&gt;='Резиденты — уровни'!$C$27,"A",IF(N37&gt;='Резиденты — уровни'!$C$28,"B","C")))</f>
        <v/>
      </c>
      <c r="P37" s="38"/>
      <c r="Q37" s="29" t="str">
        <f aca="false">IF(P37&lt;&gt;"",P37,O37)</f>
        <v/>
      </c>
      <c r="R37" s="38"/>
      <c r="S37" s="38"/>
      <c r="T37" s="38"/>
      <c r="U37" s="45" t="str">
        <f aca="false">IF(OR(F37="",D37=""),"",IF(G37=2,SUMIFS('Матрица 2027'!$J$6:$J$53,'Матрица 2027'!$B$6:$B$53,F37,'Матрица 2027'!$C$6:$C$53,D37),SUMIFS('Матрица 2027'!$I$6:$I$53,'Матрица 2027'!$B$6:$B$53,F37,'Матрица 2027'!$C$6:$C$53,D37)))</f>
        <v/>
      </c>
      <c r="V37" s="38"/>
    </row>
    <row r="38" customFormat="false" ht="15" hidden="false" customHeight="false" outlineLevel="0" collapsed="false">
      <c r="B38" s="24" t="str">
        <f aca="false">IF(C38="","",ROW()-4)</f>
        <v/>
      </c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40"/>
      <c r="N38" s="52" t="str">
        <f aca="false">IF(COUNT(H38:M38)&lt;6,"",ROUND((H38*'Резиденты — уровни'!$C$19+I38*'Резиденты — уровни'!$C$20+J38*'Резиденты — уровни'!$C$21+K38*'Резиденты — уровни'!$C$22+L38*'Резиденты — уровни'!$C$23+M38*'Резиденты — уровни'!$C$24)/SUM('Резиденты — уровни'!$C$19:$C$24),2))</f>
        <v/>
      </c>
      <c r="O38" s="39" t="str">
        <f aca="false">IF(N38="","",IF(N38&gt;='Резиденты — уровни'!$C$27,"A",IF(N38&gt;='Резиденты — уровни'!$C$28,"B","C")))</f>
        <v/>
      </c>
      <c r="P38" s="38"/>
      <c r="Q38" s="29" t="str">
        <f aca="false">IF(P38&lt;&gt;"",P38,O38)</f>
        <v/>
      </c>
      <c r="R38" s="38"/>
      <c r="S38" s="38"/>
      <c r="T38" s="38"/>
      <c r="U38" s="45" t="str">
        <f aca="false">IF(OR(F38="",D38=""),"",IF(G38=2,SUMIFS('Матрица 2027'!$J$6:$J$53,'Матрица 2027'!$B$6:$B$53,F38,'Матрица 2027'!$C$6:$C$53,D38),SUMIFS('Матрица 2027'!$I$6:$I$53,'Матрица 2027'!$B$6:$B$53,F38,'Матрица 2027'!$C$6:$C$53,D38)))</f>
        <v/>
      </c>
      <c r="V38" s="38"/>
    </row>
    <row r="39" customFormat="false" ht="15" hidden="false" customHeight="false" outlineLevel="0" collapsed="false">
      <c r="B39" s="24" t="str">
        <f aca="false">IF(C39="","",ROW()-4)</f>
        <v/>
      </c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40"/>
      <c r="N39" s="52" t="str">
        <f aca="false">IF(COUNT(H39:M39)&lt;6,"",ROUND((H39*'Резиденты — уровни'!$C$19+I39*'Резиденты — уровни'!$C$20+J39*'Резиденты — уровни'!$C$21+K39*'Резиденты — уровни'!$C$22+L39*'Резиденты — уровни'!$C$23+M39*'Резиденты — уровни'!$C$24)/SUM('Резиденты — уровни'!$C$19:$C$24),2))</f>
        <v/>
      </c>
      <c r="O39" s="39" t="str">
        <f aca="false">IF(N39="","",IF(N39&gt;='Резиденты — уровни'!$C$27,"A",IF(N39&gt;='Резиденты — уровни'!$C$28,"B","C")))</f>
        <v/>
      </c>
      <c r="P39" s="38"/>
      <c r="Q39" s="29" t="str">
        <f aca="false">IF(P39&lt;&gt;"",P39,O39)</f>
        <v/>
      </c>
      <c r="R39" s="38"/>
      <c r="S39" s="38"/>
      <c r="T39" s="38"/>
      <c r="U39" s="45" t="str">
        <f aca="false">IF(OR(F39="",D39=""),"",IF(G39=2,SUMIFS('Матрица 2027'!$J$6:$J$53,'Матрица 2027'!$B$6:$B$53,F39,'Матрица 2027'!$C$6:$C$53,D39),SUMIFS('Матрица 2027'!$I$6:$I$53,'Матрица 2027'!$B$6:$B$53,F39,'Матрица 2027'!$C$6:$C$53,D39)))</f>
        <v/>
      </c>
      <c r="V39" s="38"/>
    </row>
    <row r="40" customFormat="false" ht="15" hidden="false" customHeight="false" outlineLevel="0" collapsed="false">
      <c r="B40" s="24" t="str">
        <f aca="false">IF(C40="","",ROW()-4)</f>
        <v/>
      </c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40"/>
      <c r="N40" s="52" t="str">
        <f aca="false">IF(COUNT(H40:M40)&lt;6,"",ROUND((H40*'Резиденты — уровни'!$C$19+I40*'Резиденты — уровни'!$C$20+J40*'Резиденты — уровни'!$C$21+K40*'Резиденты — уровни'!$C$22+L40*'Резиденты — уровни'!$C$23+M40*'Резиденты — уровни'!$C$24)/SUM('Резиденты — уровни'!$C$19:$C$24),2))</f>
        <v/>
      </c>
      <c r="O40" s="39" t="str">
        <f aca="false">IF(N40="","",IF(N40&gt;='Резиденты — уровни'!$C$27,"A",IF(N40&gt;='Резиденты — уровни'!$C$28,"B","C")))</f>
        <v/>
      </c>
      <c r="P40" s="38"/>
      <c r="Q40" s="29" t="str">
        <f aca="false">IF(P40&lt;&gt;"",P40,O40)</f>
        <v/>
      </c>
      <c r="R40" s="38"/>
      <c r="S40" s="38"/>
      <c r="T40" s="38"/>
      <c r="U40" s="45" t="str">
        <f aca="false">IF(OR(F40="",D40=""),"",IF(G40=2,SUMIFS('Матрица 2027'!$J$6:$J$53,'Матрица 2027'!$B$6:$B$53,F40,'Матрица 2027'!$C$6:$C$53,D40),SUMIFS('Матрица 2027'!$I$6:$I$53,'Матрица 2027'!$B$6:$B$53,F40,'Матрица 2027'!$C$6:$C$53,D40)))</f>
        <v/>
      </c>
      <c r="V40" s="38"/>
    </row>
    <row r="41" customFormat="false" ht="15" hidden="false" customHeight="false" outlineLevel="0" collapsed="false">
      <c r="B41" s="24" t="str">
        <f aca="false">IF(C41="","",ROW()-4)</f>
        <v/>
      </c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40"/>
      <c r="N41" s="52" t="str">
        <f aca="false">IF(COUNT(H41:M41)&lt;6,"",ROUND((H41*'Резиденты — уровни'!$C$19+I41*'Резиденты — уровни'!$C$20+J41*'Резиденты — уровни'!$C$21+K41*'Резиденты — уровни'!$C$22+L41*'Резиденты — уровни'!$C$23+M41*'Резиденты — уровни'!$C$24)/SUM('Резиденты — уровни'!$C$19:$C$24),2))</f>
        <v/>
      </c>
      <c r="O41" s="39" t="str">
        <f aca="false">IF(N41="","",IF(N41&gt;='Резиденты — уровни'!$C$27,"A",IF(N41&gt;='Резиденты — уровни'!$C$28,"B","C")))</f>
        <v/>
      </c>
      <c r="P41" s="38"/>
      <c r="Q41" s="29" t="str">
        <f aca="false">IF(P41&lt;&gt;"",P41,O41)</f>
        <v/>
      </c>
      <c r="R41" s="38"/>
      <c r="S41" s="38"/>
      <c r="T41" s="38"/>
      <c r="U41" s="45" t="str">
        <f aca="false">IF(OR(F41="",D41=""),"",IF(G41=2,SUMIFS('Матрица 2027'!$J$6:$J$53,'Матрица 2027'!$B$6:$B$53,F41,'Матрица 2027'!$C$6:$C$53,D41),SUMIFS('Матрица 2027'!$I$6:$I$53,'Матрица 2027'!$B$6:$B$53,F41,'Матрица 2027'!$C$6:$C$53,D41)))</f>
        <v/>
      </c>
      <c r="V41" s="38"/>
    </row>
    <row r="42" customFormat="false" ht="15" hidden="false" customHeight="false" outlineLevel="0" collapsed="false">
      <c r="B42" s="24" t="str">
        <f aca="false">IF(C42="","",ROW()-4)</f>
        <v/>
      </c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40"/>
      <c r="N42" s="52" t="str">
        <f aca="false">IF(COUNT(H42:M42)&lt;6,"",ROUND((H42*'Резиденты — уровни'!$C$19+I42*'Резиденты — уровни'!$C$20+J42*'Резиденты — уровни'!$C$21+K42*'Резиденты — уровни'!$C$22+L42*'Резиденты — уровни'!$C$23+M42*'Резиденты — уровни'!$C$24)/SUM('Резиденты — уровни'!$C$19:$C$24),2))</f>
        <v/>
      </c>
      <c r="O42" s="39" t="str">
        <f aca="false">IF(N42="","",IF(N42&gt;='Резиденты — уровни'!$C$27,"A",IF(N42&gt;='Резиденты — уровни'!$C$28,"B","C")))</f>
        <v/>
      </c>
      <c r="P42" s="38"/>
      <c r="Q42" s="29" t="str">
        <f aca="false">IF(P42&lt;&gt;"",P42,O42)</f>
        <v/>
      </c>
      <c r="R42" s="38"/>
      <c r="S42" s="38"/>
      <c r="T42" s="38"/>
      <c r="U42" s="45" t="str">
        <f aca="false">IF(OR(F42="",D42=""),"",IF(G42=2,SUMIFS('Матрица 2027'!$J$6:$J$53,'Матрица 2027'!$B$6:$B$53,F42,'Матрица 2027'!$C$6:$C$53,D42),SUMIFS('Матрица 2027'!$I$6:$I$53,'Матрица 2027'!$B$6:$B$53,F42,'Матрица 2027'!$C$6:$C$53,D42)))</f>
        <v/>
      </c>
      <c r="V42" s="38"/>
    </row>
    <row r="43" customFormat="false" ht="15" hidden="false" customHeight="false" outlineLevel="0" collapsed="false">
      <c r="B43" s="24" t="str">
        <f aca="false">IF(C43="","",ROW()-4)</f>
        <v/>
      </c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40"/>
      <c r="N43" s="52" t="str">
        <f aca="false">IF(COUNT(H43:M43)&lt;6,"",ROUND((H43*'Резиденты — уровни'!$C$19+I43*'Резиденты — уровни'!$C$20+J43*'Резиденты — уровни'!$C$21+K43*'Резиденты — уровни'!$C$22+L43*'Резиденты — уровни'!$C$23+M43*'Резиденты — уровни'!$C$24)/SUM('Резиденты — уровни'!$C$19:$C$24),2))</f>
        <v/>
      </c>
      <c r="O43" s="39" t="str">
        <f aca="false">IF(N43="","",IF(N43&gt;='Резиденты — уровни'!$C$27,"A",IF(N43&gt;='Резиденты — уровни'!$C$28,"B","C")))</f>
        <v/>
      </c>
      <c r="P43" s="38"/>
      <c r="Q43" s="29" t="str">
        <f aca="false">IF(P43&lt;&gt;"",P43,O43)</f>
        <v/>
      </c>
      <c r="R43" s="38"/>
      <c r="S43" s="38"/>
      <c r="T43" s="38"/>
      <c r="U43" s="45" t="str">
        <f aca="false">IF(OR(F43="",D43=""),"",IF(G43=2,SUMIFS('Матрица 2027'!$J$6:$J$53,'Матрица 2027'!$B$6:$B$53,F43,'Матрица 2027'!$C$6:$C$53,D43),SUMIFS('Матрица 2027'!$I$6:$I$53,'Матрица 2027'!$B$6:$B$53,F43,'Матрица 2027'!$C$6:$C$53,D43)))</f>
        <v/>
      </c>
      <c r="V43" s="38"/>
    </row>
    <row r="44" customFormat="false" ht="15" hidden="false" customHeight="false" outlineLevel="0" collapsed="false">
      <c r="B44" s="24" t="str">
        <f aca="false">IF(C44="","",ROW()-4)</f>
        <v/>
      </c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40"/>
      <c r="N44" s="52" t="str">
        <f aca="false">IF(COUNT(H44:M44)&lt;6,"",ROUND((H44*'Резиденты — уровни'!$C$19+I44*'Резиденты — уровни'!$C$20+J44*'Резиденты — уровни'!$C$21+K44*'Резиденты — уровни'!$C$22+L44*'Резиденты — уровни'!$C$23+M44*'Резиденты — уровни'!$C$24)/SUM('Резиденты — уровни'!$C$19:$C$24),2))</f>
        <v/>
      </c>
      <c r="O44" s="39" t="str">
        <f aca="false">IF(N44="","",IF(N44&gt;='Резиденты — уровни'!$C$27,"A",IF(N44&gt;='Резиденты — уровни'!$C$28,"B","C")))</f>
        <v/>
      </c>
      <c r="P44" s="38"/>
      <c r="Q44" s="29" t="str">
        <f aca="false">IF(P44&lt;&gt;"",P44,O44)</f>
        <v/>
      </c>
      <c r="R44" s="38"/>
      <c r="S44" s="38"/>
      <c r="T44" s="38"/>
      <c r="U44" s="45" t="str">
        <f aca="false">IF(OR(F44="",D44=""),"",IF(G44=2,SUMIFS('Матрица 2027'!$J$6:$J$53,'Матрица 2027'!$B$6:$B$53,F44,'Матрица 2027'!$C$6:$C$53,D44),SUMIFS('Матрица 2027'!$I$6:$I$53,'Матрица 2027'!$B$6:$B$53,F44,'Матрица 2027'!$C$6:$C$53,D44)))</f>
        <v/>
      </c>
      <c r="V44" s="38"/>
    </row>
    <row r="45" customFormat="false" ht="15" hidden="false" customHeight="false" outlineLevel="0" collapsed="false">
      <c r="B45" s="24" t="str">
        <f aca="false">IF(C45="","",ROW()-4)</f>
        <v/>
      </c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40"/>
      <c r="N45" s="52" t="str">
        <f aca="false">IF(COUNT(H45:M45)&lt;6,"",ROUND((H45*'Резиденты — уровни'!$C$19+I45*'Резиденты — уровни'!$C$20+J45*'Резиденты — уровни'!$C$21+K45*'Резиденты — уровни'!$C$22+L45*'Резиденты — уровни'!$C$23+M45*'Резиденты — уровни'!$C$24)/SUM('Резиденты — уровни'!$C$19:$C$24),2))</f>
        <v/>
      </c>
      <c r="O45" s="39" t="str">
        <f aca="false">IF(N45="","",IF(N45&gt;='Резиденты — уровни'!$C$27,"A",IF(N45&gt;='Резиденты — уровни'!$C$28,"B","C")))</f>
        <v/>
      </c>
      <c r="P45" s="38"/>
      <c r="Q45" s="29" t="str">
        <f aca="false">IF(P45&lt;&gt;"",P45,O45)</f>
        <v/>
      </c>
      <c r="R45" s="38"/>
      <c r="S45" s="38"/>
      <c r="T45" s="38"/>
      <c r="U45" s="45" t="str">
        <f aca="false">IF(OR(F45="",D45=""),"",IF(G45=2,SUMIFS('Матрица 2027'!$J$6:$J$53,'Матрица 2027'!$B$6:$B$53,F45,'Матрица 2027'!$C$6:$C$53,D45),SUMIFS('Матрица 2027'!$I$6:$I$53,'Матрица 2027'!$B$6:$B$53,F45,'Матрица 2027'!$C$6:$C$53,D45)))</f>
        <v/>
      </c>
      <c r="V45" s="38"/>
    </row>
    <row r="46" customFormat="false" ht="15" hidden="false" customHeight="false" outlineLevel="0" collapsed="false">
      <c r="B46" s="24" t="str">
        <f aca="false">IF(C46="","",ROW()-4)</f>
        <v/>
      </c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40"/>
      <c r="N46" s="52" t="str">
        <f aca="false">IF(COUNT(H46:M46)&lt;6,"",ROUND((H46*'Резиденты — уровни'!$C$19+I46*'Резиденты — уровни'!$C$20+J46*'Резиденты — уровни'!$C$21+K46*'Резиденты — уровни'!$C$22+L46*'Резиденты — уровни'!$C$23+M46*'Резиденты — уровни'!$C$24)/SUM('Резиденты — уровни'!$C$19:$C$24),2))</f>
        <v/>
      </c>
      <c r="O46" s="39" t="str">
        <f aca="false">IF(N46="","",IF(N46&gt;='Резиденты — уровни'!$C$27,"A",IF(N46&gt;='Резиденты — уровни'!$C$28,"B","C")))</f>
        <v/>
      </c>
      <c r="P46" s="38"/>
      <c r="Q46" s="29" t="str">
        <f aca="false">IF(P46&lt;&gt;"",P46,O46)</f>
        <v/>
      </c>
      <c r="R46" s="38"/>
      <c r="S46" s="38"/>
      <c r="T46" s="38"/>
      <c r="U46" s="45" t="str">
        <f aca="false">IF(OR(F46="",D46=""),"",IF(G46=2,SUMIFS('Матрица 2027'!$J$6:$J$53,'Матрица 2027'!$B$6:$B$53,F46,'Матрица 2027'!$C$6:$C$53,D46),SUMIFS('Матрица 2027'!$I$6:$I$53,'Матрица 2027'!$B$6:$B$53,F46,'Матрица 2027'!$C$6:$C$53,D46)))</f>
        <v/>
      </c>
      <c r="V46" s="38"/>
    </row>
    <row r="47" customFormat="false" ht="15" hidden="false" customHeight="false" outlineLevel="0" collapsed="false">
      <c r="B47" s="24" t="str">
        <f aca="false">IF(C47="","",ROW()-4)</f>
        <v/>
      </c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40"/>
      <c r="N47" s="52" t="str">
        <f aca="false">IF(COUNT(H47:M47)&lt;6,"",ROUND((H47*'Резиденты — уровни'!$C$19+I47*'Резиденты — уровни'!$C$20+J47*'Резиденты — уровни'!$C$21+K47*'Резиденты — уровни'!$C$22+L47*'Резиденты — уровни'!$C$23+M47*'Резиденты — уровни'!$C$24)/SUM('Резиденты — уровни'!$C$19:$C$24),2))</f>
        <v/>
      </c>
      <c r="O47" s="39" t="str">
        <f aca="false">IF(N47="","",IF(N47&gt;='Резиденты — уровни'!$C$27,"A",IF(N47&gt;='Резиденты — уровни'!$C$28,"B","C")))</f>
        <v/>
      </c>
      <c r="P47" s="38"/>
      <c r="Q47" s="29" t="str">
        <f aca="false">IF(P47&lt;&gt;"",P47,O47)</f>
        <v/>
      </c>
      <c r="R47" s="38"/>
      <c r="S47" s="38"/>
      <c r="T47" s="38"/>
      <c r="U47" s="45" t="str">
        <f aca="false">IF(OR(F47="",D47=""),"",IF(G47=2,SUMIFS('Матрица 2027'!$J$6:$J$53,'Матрица 2027'!$B$6:$B$53,F47,'Матрица 2027'!$C$6:$C$53,D47),SUMIFS('Матрица 2027'!$I$6:$I$53,'Матрица 2027'!$B$6:$B$53,F47,'Матрица 2027'!$C$6:$C$53,D47)))</f>
        <v/>
      </c>
      <c r="V47" s="38"/>
    </row>
    <row r="48" customFormat="false" ht="15" hidden="false" customHeight="false" outlineLevel="0" collapsed="false">
      <c r="B48" s="24" t="str">
        <f aca="false">IF(C48="","",ROW()-4)</f>
        <v/>
      </c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40"/>
      <c r="N48" s="52" t="str">
        <f aca="false">IF(COUNT(H48:M48)&lt;6,"",ROUND((H48*'Резиденты — уровни'!$C$19+I48*'Резиденты — уровни'!$C$20+J48*'Резиденты — уровни'!$C$21+K48*'Резиденты — уровни'!$C$22+L48*'Резиденты — уровни'!$C$23+M48*'Резиденты — уровни'!$C$24)/SUM('Резиденты — уровни'!$C$19:$C$24),2))</f>
        <v/>
      </c>
      <c r="O48" s="39" t="str">
        <f aca="false">IF(N48="","",IF(N48&gt;='Резиденты — уровни'!$C$27,"A",IF(N48&gt;='Резиденты — уровни'!$C$28,"B","C")))</f>
        <v/>
      </c>
      <c r="P48" s="38"/>
      <c r="Q48" s="29" t="str">
        <f aca="false">IF(P48&lt;&gt;"",P48,O48)</f>
        <v/>
      </c>
      <c r="R48" s="38"/>
      <c r="S48" s="38"/>
      <c r="T48" s="38"/>
      <c r="U48" s="45" t="str">
        <f aca="false">IF(OR(F48="",D48=""),"",IF(G48=2,SUMIFS('Матрица 2027'!$J$6:$J$53,'Матрица 2027'!$B$6:$B$53,F48,'Матрица 2027'!$C$6:$C$53,D48),SUMIFS('Матрица 2027'!$I$6:$I$53,'Матрица 2027'!$B$6:$B$53,F48,'Матрица 2027'!$C$6:$C$53,D48)))</f>
        <v/>
      </c>
      <c r="V48" s="38"/>
    </row>
    <row r="49" customFormat="false" ht="15" hidden="false" customHeight="false" outlineLevel="0" collapsed="false">
      <c r="B49" s="24" t="str">
        <f aca="false">IF(C49="","",ROW()-4)</f>
        <v/>
      </c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40"/>
      <c r="N49" s="52" t="str">
        <f aca="false">IF(COUNT(H49:M49)&lt;6,"",ROUND((H49*'Резиденты — уровни'!$C$19+I49*'Резиденты — уровни'!$C$20+J49*'Резиденты — уровни'!$C$21+K49*'Резиденты — уровни'!$C$22+L49*'Резиденты — уровни'!$C$23+M49*'Резиденты — уровни'!$C$24)/SUM('Резиденты — уровни'!$C$19:$C$24),2))</f>
        <v/>
      </c>
      <c r="O49" s="39" t="str">
        <f aca="false">IF(N49="","",IF(N49&gt;='Резиденты — уровни'!$C$27,"A",IF(N49&gt;='Резиденты — уровни'!$C$28,"B","C")))</f>
        <v/>
      </c>
      <c r="P49" s="38"/>
      <c r="Q49" s="29" t="str">
        <f aca="false">IF(P49&lt;&gt;"",P49,O49)</f>
        <v/>
      </c>
      <c r="R49" s="38"/>
      <c r="S49" s="38"/>
      <c r="T49" s="38"/>
      <c r="U49" s="45" t="str">
        <f aca="false">IF(OR(F49="",D49=""),"",IF(G49=2,SUMIFS('Матрица 2027'!$J$6:$J$53,'Матрица 2027'!$B$6:$B$53,F49,'Матрица 2027'!$C$6:$C$53,D49),SUMIFS('Матрица 2027'!$I$6:$I$53,'Матрица 2027'!$B$6:$B$53,F49,'Матрица 2027'!$C$6:$C$53,D49)))</f>
        <v/>
      </c>
      <c r="V49" s="38"/>
    </row>
    <row r="50" customFormat="false" ht="15" hidden="false" customHeight="false" outlineLevel="0" collapsed="false">
      <c r="B50" s="24" t="str">
        <f aca="false">IF(C50="","",ROW()-4)</f>
        <v/>
      </c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40"/>
      <c r="N50" s="52" t="str">
        <f aca="false">IF(COUNT(H50:M50)&lt;6,"",ROUND((H50*'Резиденты — уровни'!$C$19+I50*'Резиденты — уровни'!$C$20+J50*'Резиденты — уровни'!$C$21+K50*'Резиденты — уровни'!$C$22+L50*'Резиденты — уровни'!$C$23+M50*'Резиденты — уровни'!$C$24)/SUM('Резиденты — уровни'!$C$19:$C$24),2))</f>
        <v/>
      </c>
      <c r="O50" s="39" t="str">
        <f aca="false">IF(N50="","",IF(N50&gt;='Резиденты — уровни'!$C$27,"A",IF(N50&gt;='Резиденты — уровни'!$C$28,"B","C")))</f>
        <v/>
      </c>
      <c r="P50" s="38"/>
      <c r="Q50" s="29" t="str">
        <f aca="false">IF(P50&lt;&gt;"",P50,O50)</f>
        <v/>
      </c>
      <c r="R50" s="38"/>
      <c r="S50" s="38"/>
      <c r="T50" s="38"/>
      <c r="U50" s="45" t="str">
        <f aca="false">IF(OR(F50="",D50=""),"",IF(G50=2,SUMIFS('Матрица 2027'!$J$6:$J$53,'Матрица 2027'!$B$6:$B$53,F50,'Матрица 2027'!$C$6:$C$53,D50),SUMIFS('Матрица 2027'!$I$6:$I$53,'Матрица 2027'!$B$6:$B$53,F50,'Матрица 2027'!$C$6:$C$53,D50)))</f>
        <v/>
      </c>
      <c r="V50" s="38"/>
    </row>
    <row r="51" customFormat="false" ht="15" hidden="false" customHeight="false" outlineLevel="0" collapsed="false">
      <c r="B51" s="24" t="str">
        <f aca="false">IF(C51="","",ROW()-4)</f>
        <v/>
      </c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40"/>
      <c r="N51" s="52" t="str">
        <f aca="false">IF(COUNT(H51:M51)&lt;6,"",ROUND((H51*'Резиденты — уровни'!$C$19+I51*'Резиденты — уровни'!$C$20+J51*'Резиденты — уровни'!$C$21+K51*'Резиденты — уровни'!$C$22+L51*'Резиденты — уровни'!$C$23+M51*'Резиденты — уровни'!$C$24)/SUM('Резиденты — уровни'!$C$19:$C$24),2))</f>
        <v/>
      </c>
      <c r="O51" s="39" t="str">
        <f aca="false">IF(N51="","",IF(N51&gt;='Резиденты — уровни'!$C$27,"A",IF(N51&gt;='Резиденты — уровни'!$C$28,"B","C")))</f>
        <v/>
      </c>
      <c r="P51" s="38"/>
      <c r="Q51" s="29" t="str">
        <f aca="false">IF(P51&lt;&gt;"",P51,O51)</f>
        <v/>
      </c>
      <c r="R51" s="38"/>
      <c r="S51" s="38"/>
      <c r="T51" s="38"/>
      <c r="U51" s="45" t="str">
        <f aca="false">IF(OR(F51="",D51=""),"",IF(G51=2,SUMIFS('Матрица 2027'!$J$6:$J$53,'Матрица 2027'!$B$6:$B$53,F51,'Матрица 2027'!$C$6:$C$53,D51),SUMIFS('Матрица 2027'!$I$6:$I$53,'Матрица 2027'!$B$6:$B$53,F51,'Матрица 2027'!$C$6:$C$53,D51)))</f>
        <v/>
      </c>
      <c r="V51" s="38"/>
    </row>
    <row r="52" customFormat="false" ht="15" hidden="false" customHeight="false" outlineLevel="0" collapsed="false">
      <c r="B52" s="24" t="str">
        <f aca="false">IF(C52="","",ROW()-4)</f>
        <v/>
      </c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40"/>
      <c r="N52" s="52" t="str">
        <f aca="false">IF(COUNT(H52:M52)&lt;6,"",ROUND((H52*'Резиденты — уровни'!$C$19+I52*'Резиденты — уровни'!$C$20+J52*'Резиденты — уровни'!$C$21+K52*'Резиденты — уровни'!$C$22+L52*'Резиденты — уровни'!$C$23+M52*'Резиденты — уровни'!$C$24)/SUM('Резиденты — уровни'!$C$19:$C$24),2))</f>
        <v/>
      </c>
      <c r="O52" s="39" t="str">
        <f aca="false">IF(N52="","",IF(N52&gt;='Резиденты — уровни'!$C$27,"A",IF(N52&gt;='Резиденты — уровни'!$C$28,"B","C")))</f>
        <v/>
      </c>
      <c r="P52" s="38"/>
      <c r="Q52" s="29" t="str">
        <f aca="false">IF(P52&lt;&gt;"",P52,O52)</f>
        <v/>
      </c>
      <c r="R52" s="38"/>
      <c r="S52" s="38"/>
      <c r="T52" s="38"/>
      <c r="U52" s="45" t="str">
        <f aca="false">IF(OR(F52="",D52=""),"",IF(G52=2,SUMIFS('Матрица 2027'!$J$6:$J$53,'Матрица 2027'!$B$6:$B$53,F52,'Матрица 2027'!$C$6:$C$53,D52),SUMIFS('Матрица 2027'!$I$6:$I$53,'Матрица 2027'!$B$6:$B$53,F52,'Матрица 2027'!$C$6:$C$53,D52)))</f>
        <v/>
      </c>
      <c r="V52" s="38"/>
    </row>
    <row r="53" customFormat="false" ht="15" hidden="false" customHeight="false" outlineLevel="0" collapsed="false">
      <c r="B53" s="24" t="str">
        <f aca="false">IF(C53="","",ROW()-4)</f>
        <v/>
      </c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40"/>
      <c r="N53" s="52" t="str">
        <f aca="false">IF(COUNT(H53:M53)&lt;6,"",ROUND((H53*'Резиденты — уровни'!$C$19+I53*'Резиденты — уровни'!$C$20+J53*'Резиденты — уровни'!$C$21+K53*'Резиденты — уровни'!$C$22+L53*'Резиденты — уровни'!$C$23+M53*'Резиденты — уровни'!$C$24)/SUM('Резиденты — уровни'!$C$19:$C$24),2))</f>
        <v/>
      </c>
      <c r="O53" s="39" t="str">
        <f aca="false">IF(N53="","",IF(N53&gt;='Резиденты — уровни'!$C$27,"A",IF(N53&gt;='Резиденты — уровни'!$C$28,"B","C")))</f>
        <v/>
      </c>
      <c r="P53" s="38"/>
      <c r="Q53" s="29" t="str">
        <f aca="false">IF(P53&lt;&gt;"",P53,O53)</f>
        <v/>
      </c>
      <c r="R53" s="38"/>
      <c r="S53" s="38"/>
      <c r="T53" s="38"/>
      <c r="U53" s="45" t="str">
        <f aca="false">IF(OR(F53="",D53=""),"",IF(G53=2,SUMIFS('Матрица 2027'!$J$6:$J$53,'Матрица 2027'!$B$6:$B$53,F53,'Матрица 2027'!$C$6:$C$53,D53),SUMIFS('Матрица 2027'!$I$6:$I$53,'Матрица 2027'!$B$6:$B$53,F53,'Матрица 2027'!$C$6:$C$53,D53)))</f>
        <v/>
      </c>
      <c r="V53" s="38"/>
    </row>
    <row r="54" customFormat="false" ht="15" hidden="false" customHeight="false" outlineLevel="0" collapsed="false">
      <c r="B54" s="24" t="str">
        <f aca="false">IF(C54="","",ROW()-4)</f>
        <v/>
      </c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40"/>
      <c r="N54" s="52" t="str">
        <f aca="false">IF(COUNT(H54:M54)&lt;6,"",ROUND((H54*'Резиденты — уровни'!$C$19+I54*'Резиденты — уровни'!$C$20+J54*'Резиденты — уровни'!$C$21+K54*'Резиденты — уровни'!$C$22+L54*'Резиденты — уровни'!$C$23+M54*'Резиденты — уровни'!$C$24)/SUM('Резиденты — уровни'!$C$19:$C$24),2))</f>
        <v/>
      </c>
      <c r="O54" s="39" t="str">
        <f aca="false">IF(N54="","",IF(N54&gt;='Резиденты — уровни'!$C$27,"A",IF(N54&gt;='Резиденты — уровни'!$C$28,"B","C")))</f>
        <v/>
      </c>
      <c r="P54" s="38"/>
      <c r="Q54" s="29" t="str">
        <f aca="false">IF(P54&lt;&gt;"",P54,O54)</f>
        <v/>
      </c>
      <c r="R54" s="38"/>
      <c r="S54" s="38"/>
      <c r="T54" s="38"/>
      <c r="U54" s="45" t="str">
        <f aca="false">IF(OR(F54="",D54=""),"",IF(G54=2,SUMIFS('Матрица 2027'!$J$6:$J$53,'Матрица 2027'!$B$6:$B$53,F54,'Матрица 2027'!$C$6:$C$53,D54),SUMIFS('Матрица 2027'!$I$6:$I$53,'Матрица 2027'!$B$6:$B$53,F54,'Матрица 2027'!$C$6:$C$53,D54)))</f>
        <v/>
      </c>
      <c r="V54" s="38"/>
    </row>
    <row r="55" customFormat="false" ht="15" hidden="false" customHeight="false" outlineLevel="0" collapsed="false">
      <c r="B55" s="24" t="str">
        <f aca="false">IF(C55="","",ROW()-4)</f>
        <v/>
      </c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40"/>
      <c r="N55" s="52" t="str">
        <f aca="false">IF(COUNT(H55:M55)&lt;6,"",ROUND((H55*'Резиденты — уровни'!$C$19+I55*'Резиденты — уровни'!$C$20+J55*'Резиденты — уровни'!$C$21+K55*'Резиденты — уровни'!$C$22+L55*'Резиденты — уровни'!$C$23+M55*'Резиденты — уровни'!$C$24)/SUM('Резиденты — уровни'!$C$19:$C$24),2))</f>
        <v/>
      </c>
      <c r="O55" s="39" t="str">
        <f aca="false">IF(N55="","",IF(N55&gt;='Резиденты — уровни'!$C$27,"A",IF(N55&gt;='Резиденты — уровни'!$C$28,"B","C")))</f>
        <v/>
      </c>
      <c r="P55" s="38"/>
      <c r="Q55" s="29" t="str">
        <f aca="false">IF(P55&lt;&gt;"",P55,O55)</f>
        <v/>
      </c>
      <c r="R55" s="38"/>
      <c r="S55" s="38"/>
      <c r="T55" s="38"/>
      <c r="U55" s="45" t="str">
        <f aca="false">IF(OR(F55="",D55=""),"",IF(G55=2,SUMIFS('Матрица 2027'!$J$6:$J$53,'Матрица 2027'!$B$6:$B$53,F55,'Матрица 2027'!$C$6:$C$53,D55),SUMIFS('Матрица 2027'!$I$6:$I$53,'Матрица 2027'!$B$6:$B$53,F55,'Матрица 2027'!$C$6:$C$53,D55)))</f>
        <v/>
      </c>
      <c r="V55" s="38"/>
    </row>
    <row r="56" customFormat="false" ht="15" hidden="false" customHeight="false" outlineLevel="0" collapsed="false">
      <c r="B56" s="24" t="str">
        <f aca="false">IF(C56="","",ROW()-4)</f>
        <v/>
      </c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40"/>
      <c r="N56" s="52" t="str">
        <f aca="false">IF(COUNT(H56:M56)&lt;6,"",ROUND((H56*'Резиденты — уровни'!$C$19+I56*'Резиденты — уровни'!$C$20+J56*'Резиденты — уровни'!$C$21+K56*'Резиденты — уровни'!$C$22+L56*'Резиденты — уровни'!$C$23+M56*'Резиденты — уровни'!$C$24)/SUM('Резиденты — уровни'!$C$19:$C$24),2))</f>
        <v/>
      </c>
      <c r="O56" s="39" t="str">
        <f aca="false">IF(N56="","",IF(N56&gt;='Резиденты — уровни'!$C$27,"A",IF(N56&gt;='Резиденты — уровни'!$C$28,"B","C")))</f>
        <v/>
      </c>
      <c r="P56" s="38"/>
      <c r="Q56" s="29" t="str">
        <f aca="false">IF(P56&lt;&gt;"",P56,O56)</f>
        <v/>
      </c>
      <c r="R56" s="38"/>
      <c r="S56" s="38"/>
      <c r="T56" s="38"/>
      <c r="U56" s="45" t="str">
        <f aca="false">IF(OR(F56="",D56=""),"",IF(G56=2,SUMIFS('Матрица 2027'!$J$6:$J$53,'Матрица 2027'!$B$6:$B$53,F56,'Матрица 2027'!$C$6:$C$53,D56),SUMIFS('Матрица 2027'!$I$6:$I$53,'Матрица 2027'!$B$6:$B$53,F56,'Матрица 2027'!$C$6:$C$53,D56)))</f>
        <v/>
      </c>
      <c r="V56" s="38"/>
    </row>
    <row r="57" customFormat="false" ht="15" hidden="false" customHeight="false" outlineLevel="0" collapsed="false">
      <c r="B57" s="24" t="str">
        <f aca="false">IF(C57="","",ROW()-4)</f>
        <v/>
      </c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40"/>
      <c r="N57" s="52" t="str">
        <f aca="false">IF(COUNT(H57:M57)&lt;6,"",ROUND((H57*'Резиденты — уровни'!$C$19+I57*'Резиденты — уровни'!$C$20+J57*'Резиденты — уровни'!$C$21+K57*'Резиденты — уровни'!$C$22+L57*'Резиденты — уровни'!$C$23+M57*'Резиденты — уровни'!$C$24)/SUM('Резиденты — уровни'!$C$19:$C$24),2))</f>
        <v/>
      </c>
      <c r="O57" s="39" t="str">
        <f aca="false">IF(N57="","",IF(N57&gt;='Резиденты — уровни'!$C$27,"A",IF(N57&gt;='Резиденты — уровни'!$C$28,"B","C")))</f>
        <v/>
      </c>
      <c r="P57" s="38"/>
      <c r="Q57" s="29" t="str">
        <f aca="false">IF(P57&lt;&gt;"",P57,O57)</f>
        <v/>
      </c>
      <c r="R57" s="38"/>
      <c r="S57" s="38"/>
      <c r="T57" s="38"/>
      <c r="U57" s="45" t="str">
        <f aca="false">IF(OR(F57="",D57=""),"",IF(G57=2,SUMIFS('Матрица 2027'!$J$6:$J$53,'Матрица 2027'!$B$6:$B$53,F57,'Матрица 2027'!$C$6:$C$53,D57),SUMIFS('Матрица 2027'!$I$6:$I$53,'Матрица 2027'!$B$6:$B$53,F57,'Матрица 2027'!$C$6:$C$53,D57)))</f>
        <v/>
      </c>
      <c r="V57" s="38"/>
    </row>
    <row r="58" customFormat="false" ht="15" hidden="false" customHeight="false" outlineLevel="0" collapsed="false">
      <c r="B58" s="24" t="str">
        <f aca="false">IF(C58="","",ROW()-4)</f>
        <v/>
      </c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40"/>
      <c r="N58" s="52" t="str">
        <f aca="false">IF(COUNT(H58:M58)&lt;6,"",ROUND((H58*'Резиденты — уровни'!$C$19+I58*'Резиденты — уровни'!$C$20+J58*'Резиденты — уровни'!$C$21+K58*'Резиденты — уровни'!$C$22+L58*'Резиденты — уровни'!$C$23+M58*'Резиденты — уровни'!$C$24)/SUM('Резиденты — уровни'!$C$19:$C$24),2))</f>
        <v/>
      </c>
      <c r="O58" s="39" t="str">
        <f aca="false">IF(N58="","",IF(N58&gt;='Резиденты — уровни'!$C$27,"A",IF(N58&gt;='Резиденты — уровни'!$C$28,"B","C")))</f>
        <v/>
      </c>
      <c r="P58" s="38"/>
      <c r="Q58" s="29" t="str">
        <f aca="false">IF(P58&lt;&gt;"",P58,O58)</f>
        <v/>
      </c>
      <c r="R58" s="38"/>
      <c r="S58" s="38"/>
      <c r="T58" s="38"/>
      <c r="U58" s="45" t="str">
        <f aca="false">IF(OR(F58="",D58=""),"",IF(G58=2,SUMIFS('Матрица 2027'!$J$6:$J$53,'Матрица 2027'!$B$6:$B$53,F58,'Матрица 2027'!$C$6:$C$53,D58),SUMIFS('Матрица 2027'!$I$6:$I$53,'Матрица 2027'!$B$6:$B$53,F58,'Матрица 2027'!$C$6:$C$53,D58)))</f>
        <v/>
      </c>
      <c r="V58" s="38"/>
    </row>
    <row r="59" customFormat="false" ht="15" hidden="false" customHeight="false" outlineLevel="0" collapsed="false">
      <c r="B59" s="24" t="str">
        <f aca="false">IF(C59="","",ROW()-4)</f>
        <v/>
      </c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40"/>
      <c r="N59" s="52" t="str">
        <f aca="false">IF(COUNT(H59:M59)&lt;6,"",ROUND((H59*'Резиденты — уровни'!$C$19+I59*'Резиденты — уровни'!$C$20+J59*'Резиденты — уровни'!$C$21+K59*'Резиденты — уровни'!$C$22+L59*'Резиденты — уровни'!$C$23+M59*'Резиденты — уровни'!$C$24)/SUM('Резиденты — уровни'!$C$19:$C$24),2))</f>
        <v/>
      </c>
      <c r="O59" s="39" t="str">
        <f aca="false">IF(N59="","",IF(N59&gt;='Резиденты — уровни'!$C$27,"A",IF(N59&gt;='Резиденты — уровни'!$C$28,"B","C")))</f>
        <v/>
      </c>
      <c r="P59" s="38"/>
      <c r="Q59" s="29" t="str">
        <f aca="false">IF(P59&lt;&gt;"",P59,O59)</f>
        <v/>
      </c>
      <c r="R59" s="38"/>
      <c r="S59" s="38"/>
      <c r="T59" s="38"/>
      <c r="U59" s="45" t="str">
        <f aca="false">IF(OR(F59="",D59=""),"",IF(G59=2,SUMIFS('Матрица 2027'!$J$6:$J$53,'Матрица 2027'!$B$6:$B$53,F59,'Матрица 2027'!$C$6:$C$53,D59),SUMIFS('Матрица 2027'!$I$6:$I$53,'Матрица 2027'!$B$6:$B$53,F59,'Матрица 2027'!$C$6:$C$53,D59)))</f>
        <v/>
      </c>
      <c r="V59" s="38"/>
    </row>
    <row r="60" customFormat="false" ht="15" hidden="false" customHeight="false" outlineLevel="0" collapsed="false">
      <c r="B60" s="24" t="str">
        <f aca="false">IF(C60="","",ROW()-4)</f>
        <v/>
      </c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40"/>
      <c r="N60" s="52" t="str">
        <f aca="false">IF(COUNT(H60:M60)&lt;6,"",ROUND((H60*'Резиденты — уровни'!$C$19+I60*'Резиденты — уровни'!$C$20+J60*'Резиденты — уровни'!$C$21+K60*'Резиденты — уровни'!$C$22+L60*'Резиденты — уровни'!$C$23+M60*'Резиденты — уровни'!$C$24)/SUM('Резиденты — уровни'!$C$19:$C$24),2))</f>
        <v/>
      </c>
      <c r="O60" s="39" t="str">
        <f aca="false">IF(N60="","",IF(N60&gt;='Резиденты — уровни'!$C$27,"A",IF(N60&gt;='Резиденты — уровни'!$C$28,"B","C")))</f>
        <v/>
      </c>
      <c r="P60" s="38"/>
      <c r="Q60" s="29" t="str">
        <f aca="false">IF(P60&lt;&gt;"",P60,O60)</f>
        <v/>
      </c>
      <c r="R60" s="38"/>
      <c r="S60" s="38"/>
      <c r="T60" s="38"/>
      <c r="U60" s="45" t="str">
        <f aca="false">IF(OR(F60="",D60=""),"",IF(G60=2,SUMIFS('Матрица 2027'!$J$6:$J$53,'Матрица 2027'!$B$6:$B$53,F60,'Матрица 2027'!$C$6:$C$53,D60),SUMIFS('Матрица 2027'!$I$6:$I$53,'Матрица 2027'!$B$6:$B$53,F60,'Матрица 2027'!$C$6:$C$53,D60)))</f>
        <v/>
      </c>
      <c r="V60" s="38"/>
    </row>
    <row r="61" customFormat="false" ht="15" hidden="false" customHeight="false" outlineLevel="0" collapsed="false">
      <c r="B61" s="24" t="str">
        <f aca="false">IF(C61="","",ROW()-4)</f>
        <v/>
      </c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40"/>
      <c r="N61" s="52" t="str">
        <f aca="false">IF(COUNT(H61:M61)&lt;6,"",ROUND((H61*'Резиденты — уровни'!$C$19+I61*'Резиденты — уровни'!$C$20+J61*'Резиденты — уровни'!$C$21+K61*'Резиденты — уровни'!$C$22+L61*'Резиденты — уровни'!$C$23+M61*'Резиденты — уровни'!$C$24)/SUM('Резиденты — уровни'!$C$19:$C$24),2))</f>
        <v/>
      </c>
      <c r="O61" s="39" t="str">
        <f aca="false">IF(N61="","",IF(N61&gt;='Резиденты — уровни'!$C$27,"A",IF(N61&gt;='Резиденты — уровни'!$C$28,"B","C")))</f>
        <v/>
      </c>
      <c r="P61" s="38"/>
      <c r="Q61" s="29" t="str">
        <f aca="false">IF(P61&lt;&gt;"",P61,O61)</f>
        <v/>
      </c>
      <c r="R61" s="38"/>
      <c r="S61" s="38"/>
      <c r="T61" s="38"/>
      <c r="U61" s="45" t="str">
        <f aca="false">IF(OR(F61="",D61=""),"",IF(G61=2,SUMIFS('Матрица 2027'!$J$6:$J$53,'Матрица 2027'!$B$6:$B$53,F61,'Матрица 2027'!$C$6:$C$53,D61),SUMIFS('Матрица 2027'!$I$6:$I$53,'Матрица 2027'!$B$6:$B$53,F61,'Матрица 2027'!$C$6:$C$53,D61)))</f>
        <v/>
      </c>
      <c r="V61" s="38"/>
    </row>
    <row r="62" customFormat="false" ht="15" hidden="false" customHeight="false" outlineLevel="0" collapsed="false">
      <c r="B62" s="24" t="str">
        <f aca="false">IF(C62="","",ROW()-4)</f>
        <v/>
      </c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40"/>
      <c r="N62" s="52" t="str">
        <f aca="false">IF(COUNT(H62:M62)&lt;6,"",ROUND((H62*'Резиденты — уровни'!$C$19+I62*'Резиденты — уровни'!$C$20+J62*'Резиденты — уровни'!$C$21+K62*'Резиденты — уровни'!$C$22+L62*'Резиденты — уровни'!$C$23+M62*'Резиденты — уровни'!$C$24)/SUM('Резиденты — уровни'!$C$19:$C$24),2))</f>
        <v/>
      </c>
      <c r="O62" s="39" t="str">
        <f aca="false">IF(N62="","",IF(N62&gt;='Резиденты — уровни'!$C$27,"A",IF(N62&gt;='Резиденты — уровни'!$C$28,"B","C")))</f>
        <v/>
      </c>
      <c r="P62" s="38"/>
      <c r="Q62" s="29" t="str">
        <f aca="false">IF(P62&lt;&gt;"",P62,O62)</f>
        <v/>
      </c>
      <c r="R62" s="38"/>
      <c r="S62" s="38"/>
      <c r="T62" s="38"/>
      <c r="U62" s="45" t="str">
        <f aca="false">IF(OR(F62="",D62=""),"",IF(G62=2,SUMIFS('Матрица 2027'!$J$6:$J$53,'Матрица 2027'!$B$6:$B$53,F62,'Матрица 2027'!$C$6:$C$53,D62),SUMIFS('Матрица 2027'!$I$6:$I$53,'Матрица 2027'!$B$6:$B$53,F62,'Матрица 2027'!$C$6:$C$53,D62)))</f>
        <v/>
      </c>
      <c r="V62" s="38"/>
    </row>
    <row r="63" customFormat="false" ht="15" hidden="false" customHeight="false" outlineLevel="0" collapsed="false">
      <c r="B63" s="24" t="str">
        <f aca="false">IF(C63="","",ROW()-4)</f>
        <v/>
      </c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40"/>
      <c r="N63" s="52" t="str">
        <f aca="false">IF(COUNT(H63:M63)&lt;6,"",ROUND((H63*'Резиденты — уровни'!$C$19+I63*'Резиденты — уровни'!$C$20+J63*'Резиденты — уровни'!$C$21+K63*'Резиденты — уровни'!$C$22+L63*'Резиденты — уровни'!$C$23+M63*'Резиденты — уровни'!$C$24)/SUM('Резиденты — уровни'!$C$19:$C$24),2))</f>
        <v/>
      </c>
      <c r="O63" s="39" t="str">
        <f aca="false">IF(N63="","",IF(N63&gt;='Резиденты — уровни'!$C$27,"A",IF(N63&gt;='Резиденты — уровни'!$C$28,"B","C")))</f>
        <v/>
      </c>
      <c r="P63" s="38"/>
      <c r="Q63" s="29" t="str">
        <f aca="false">IF(P63&lt;&gt;"",P63,O63)</f>
        <v/>
      </c>
      <c r="R63" s="38"/>
      <c r="S63" s="38"/>
      <c r="T63" s="38"/>
      <c r="U63" s="45" t="str">
        <f aca="false">IF(OR(F63="",D63=""),"",IF(G63=2,SUMIFS('Матрица 2027'!$J$6:$J$53,'Матрица 2027'!$B$6:$B$53,F63,'Матрица 2027'!$C$6:$C$53,D63),SUMIFS('Матрица 2027'!$I$6:$I$53,'Матрица 2027'!$B$6:$B$53,F63,'Матрица 2027'!$C$6:$C$53,D63)))</f>
        <v/>
      </c>
      <c r="V63" s="38"/>
    </row>
    <row r="64" customFormat="false" ht="15" hidden="false" customHeight="false" outlineLevel="0" collapsed="false">
      <c r="B64" s="24" t="str">
        <f aca="false">IF(C64="","",ROW()-4)</f>
        <v/>
      </c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40"/>
      <c r="N64" s="52" t="str">
        <f aca="false">IF(COUNT(H64:M64)&lt;6,"",ROUND((H64*'Резиденты — уровни'!$C$19+I64*'Резиденты — уровни'!$C$20+J64*'Резиденты — уровни'!$C$21+K64*'Резиденты — уровни'!$C$22+L64*'Резиденты — уровни'!$C$23+M64*'Резиденты — уровни'!$C$24)/SUM('Резиденты — уровни'!$C$19:$C$24),2))</f>
        <v/>
      </c>
      <c r="O64" s="39" t="str">
        <f aca="false">IF(N64="","",IF(N64&gt;='Резиденты — уровни'!$C$27,"A",IF(N64&gt;='Резиденты — уровни'!$C$28,"B","C")))</f>
        <v/>
      </c>
      <c r="P64" s="38"/>
      <c r="Q64" s="29" t="str">
        <f aca="false">IF(P64&lt;&gt;"",P64,O64)</f>
        <v/>
      </c>
      <c r="R64" s="38"/>
      <c r="S64" s="38"/>
      <c r="T64" s="38"/>
      <c r="U64" s="45" t="str">
        <f aca="false">IF(OR(F64="",D64=""),"",IF(G64=2,SUMIFS('Матрица 2027'!$J$6:$J$53,'Матрица 2027'!$B$6:$B$53,F64,'Матрица 2027'!$C$6:$C$53,D64),SUMIFS('Матрица 2027'!$I$6:$I$53,'Матрица 2027'!$B$6:$B$53,F64,'Матрица 2027'!$C$6:$C$53,D64)))</f>
        <v/>
      </c>
      <c r="V64" s="38"/>
    </row>
    <row r="65" customFormat="false" ht="15" hidden="false" customHeight="false" outlineLevel="0" collapsed="false">
      <c r="B65" s="24" t="str">
        <f aca="false">IF(C65="","",ROW()-4)</f>
        <v/>
      </c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40"/>
      <c r="N65" s="52" t="str">
        <f aca="false">IF(COUNT(H65:M65)&lt;6,"",ROUND((H65*'Резиденты — уровни'!$C$19+I65*'Резиденты — уровни'!$C$20+J65*'Резиденты — уровни'!$C$21+K65*'Резиденты — уровни'!$C$22+L65*'Резиденты — уровни'!$C$23+M65*'Резиденты — уровни'!$C$24)/SUM('Резиденты — уровни'!$C$19:$C$24),2))</f>
        <v/>
      </c>
      <c r="O65" s="39" t="str">
        <f aca="false">IF(N65="","",IF(N65&gt;='Резиденты — уровни'!$C$27,"A",IF(N65&gt;='Резиденты — уровни'!$C$28,"B","C")))</f>
        <v/>
      </c>
      <c r="P65" s="38"/>
      <c r="Q65" s="29" t="str">
        <f aca="false">IF(P65&lt;&gt;"",P65,O65)</f>
        <v/>
      </c>
      <c r="R65" s="38"/>
      <c r="S65" s="38"/>
      <c r="T65" s="38"/>
      <c r="U65" s="45" t="str">
        <f aca="false">IF(OR(F65="",D65=""),"",IF(G65=2,SUMIFS('Матрица 2027'!$J$6:$J$53,'Матрица 2027'!$B$6:$B$53,F65,'Матрица 2027'!$C$6:$C$53,D65),SUMIFS('Матрица 2027'!$I$6:$I$53,'Матрица 2027'!$B$6:$B$53,F65,'Матрица 2027'!$C$6:$C$53,D65)))</f>
        <v/>
      </c>
      <c r="V65" s="38"/>
    </row>
    <row r="66" customFormat="false" ht="15" hidden="false" customHeight="false" outlineLevel="0" collapsed="false">
      <c r="B66" s="24" t="str">
        <f aca="false">IF(C66="","",ROW()-4)</f>
        <v/>
      </c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40"/>
      <c r="N66" s="52" t="str">
        <f aca="false">IF(COUNT(H66:M66)&lt;6,"",ROUND((H66*'Резиденты — уровни'!$C$19+I66*'Резиденты — уровни'!$C$20+J66*'Резиденты — уровни'!$C$21+K66*'Резиденты — уровни'!$C$22+L66*'Резиденты — уровни'!$C$23+M66*'Резиденты — уровни'!$C$24)/SUM('Резиденты — уровни'!$C$19:$C$24),2))</f>
        <v/>
      </c>
      <c r="O66" s="39" t="str">
        <f aca="false">IF(N66="","",IF(N66&gt;='Резиденты — уровни'!$C$27,"A",IF(N66&gt;='Резиденты — уровни'!$C$28,"B","C")))</f>
        <v/>
      </c>
      <c r="P66" s="38"/>
      <c r="Q66" s="29" t="str">
        <f aca="false">IF(P66&lt;&gt;"",P66,O66)</f>
        <v/>
      </c>
      <c r="R66" s="38"/>
      <c r="S66" s="38"/>
      <c r="T66" s="38"/>
      <c r="U66" s="45" t="str">
        <f aca="false">IF(OR(F66="",D66=""),"",IF(G66=2,SUMIFS('Матрица 2027'!$J$6:$J$53,'Матрица 2027'!$B$6:$B$53,F66,'Матрица 2027'!$C$6:$C$53,D66),SUMIFS('Матрица 2027'!$I$6:$I$53,'Матрица 2027'!$B$6:$B$53,F66,'Матрица 2027'!$C$6:$C$53,D66)))</f>
        <v/>
      </c>
      <c r="V66" s="38"/>
    </row>
    <row r="67" customFormat="false" ht="15" hidden="false" customHeight="false" outlineLevel="0" collapsed="false">
      <c r="B67" s="24" t="str">
        <f aca="false">IF(C67="","",ROW()-4)</f>
        <v/>
      </c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40"/>
      <c r="N67" s="52" t="str">
        <f aca="false">IF(COUNT(H67:M67)&lt;6,"",ROUND((H67*'Резиденты — уровни'!$C$19+I67*'Резиденты — уровни'!$C$20+J67*'Резиденты — уровни'!$C$21+K67*'Резиденты — уровни'!$C$22+L67*'Резиденты — уровни'!$C$23+M67*'Резиденты — уровни'!$C$24)/SUM('Резиденты — уровни'!$C$19:$C$24),2))</f>
        <v/>
      </c>
      <c r="O67" s="39" t="str">
        <f aca="false">IF(N67="","",IF(N67&gt;='Резиденты — уровни'!$C$27,"A",IF(N67&gt;='Резиденты — уровни'!$C$28,"B","C")))</f>
        <v/>
      </c>
      <c r="P67" s="38"/>
      <c r="Q67" s="29" t="str">
        <f aca="false">IF(P67&lt;&gt;"",P67,O67)</f>
        <v/>
      </c>
      <c r="R67" s="38"/>
      <c r="S67" s="38"/>
      <c r="T67" s="38"/>
      <c r="U67" s="45" t="str">
        <f aca="false">IF(OR(F67="",D67=""),"",IF(G67=2,SUMIFS('Матрица 2027'!$J$6:$J$53,'Матрица 2027'!$B$6:$B$53,F67,'Матрица 2027'!$C$6:$C$53,D67),SUMIFS('Матрица 2027'!$I$6:$I$53,'Матрица 2027'!$B$6:$B$53,F67,'Матрица 2027'!$C$6:$C$53,D67)))</f>
        <v/>
      </c>
      <c r="V67" s="38"/>
    </row>
    <row r="68" customFormat="false" ht="15" hidden="false" customHeight="false" outlineLevel="0" collapsed="false">
      <c r="B68" s="24" t="str">
        <f aca="false">IF(C68="","",ROW()-4)</f>
        <v/>
      </c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40"/>
      <c r="N68" s="52" t="str">
        <f aca="false">IF(COUNT(H68:M68)&lt;6,"",ROUND((H68*'Резиденты — уровни'!$C$19+I68*'Резиденты — уровни'!$C$20+J68*'Резиденты — уровни'!$C$21+K68*'Резиденты — уровни'!$C$22+L68*'Резиденты — уровни'!$C$23+M68*'Резиденты — уровни'!$C$24)/SUM('Резиденты — уровни'!$C$19:$C$24),2))</f>
        <v/>
      </c>
      <c r="O68" s="39" t="str">
        <f aca="false">IF(N68="","",IF(N68&gt;='Резиденты — уровни'!$C$27,"A",IF(N68&gt;='Резиденты — уровни'!$C$28,"B","C")))</f>
        <v/>
      </c>
      <c r="P68" s="38"/>
      <c r="Q68" s="29" t="str">
        <f aca="false">IF(P68&lt;&gt;"",P68,O68)</f>
        <v/>
      </c>
      <c r="R68" s="38"/>
      <c r="S68" s="38"/>
      <c r="T68" s="38"/>
      <c r="U68" s="45" t="str">
        <f aca="false">IF(OR(F68="",D68=""),"",IF(G68=2,SUMIFS('Матрица 2027'!$J$6:$J$53,'Матрица 2027'!$B$6:$B$53,F68,'Матрица 2027'!$C$6:$C$53,D68),SUMIFS('Матрица 2027'!$I$6:$I$53,'Матрица 2027'!$B$6:$B$53,F68,'Матрица 2027'!$C$6:$C$53,D68)))</f>
        <v/>
      </c>
      <c r="V68" s="38"/>
    </row>
    <row r="69" customFormat="false" ht="15" hidden="false" customHeight="false" outlineLevel="0" collapsed="false">
      <c r="B69" s="24" t="str">
        <f aca="false">IF(C69="","",ROW()-4)</f>
        <v/>
      </c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40"/>
      <c r="N69" s="52" t="str">
        <f aca="false">IF(COUNT(H69:M69)&lt;6,"",ROUND((H69*'Резиденты — уровни'!$C$19+I69*'Резиденты — уровни'!$C$20+J69*'Резиденты — уровни'!$C$21+K69*'Резиденты — уровни'!$C$22+L69*'Резиденты — уровни'!$C$23+M69*'Резиденты — уровни'!$C$24)/SUM('Резиденты — уровни'!$C$19:$C$24),2))</f>
        <v/>
      </c>
      <c r="O69" s="39" t="str">
        <f aca="false">IF(N69="","",IF(N69&gt;='Резиденты — уровни'!$C$27,"A",IF(N69&gt;='Резиденты — уровни'!$C$28,"B","C")))</f>
        <v/>
      </c>
      <c r="P69" s="38"/>
      <c r="Q69" s="29" t="str">
        <f aca="false">IF(P69&lt;&gt;"",P69,O69)</f>
        <v/>
      </c>
      <c r="R69" s="38"/>
      <c r="S69" s="38"/>
      <c r="T69" s="38"/>
      <c r="U69" s="45" t="str">
        <f aca="false">IF(OR(F69="",D69=""),"",IF(G69=2,SUMIFS('Матрица 2027'!$J$6:$J$53,'Матрица 2027'!$B$6:$B$53,F69,'Матрица 2027'!$C$6:$C$53,D69),SUMIFS('Матрица 2027'!$I$6:$I$53,'Матрица 2027'!$B$6:$B$53,F69,'Матрица 2027'!$C$6:$C$53,D69)))</f>
        <v/>
      </c>
      <c r="V69" s="38"/>
    </row>
    <row r="70" customFormat="false" ht="15" hidden="false" customHeight="false" outlineLevel="0" collapsed="false">
      <c r="B70" s="24" t="str">
        <f aca="false">IF(C70="","",ROW()-4)</f>
        <v/>
      </c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40"/>
      <c r="N70" s="52" t="str">
        <f aca="false">IF(COUNT(H70:M70)&lt;6,"",ROUND((H70*'Резиденты — уровни'!$C$19+I70*'Резиденты — уровни'!$C$20+J70*'Резиденты — уровни'!$C$21+K70*'Резиденты — уровни'!$C$22+L70*'Резиденты — уровни'!$C$23+M70*'Резиденты — уровни'!$C$24)/SUM('Резиденты — уровни'!$C$19:$C$24),2))</f>
        <v/>
      </c>
      <c r="O70" s="39" t="str">
        <f aca="false">IF(N70="","",IF(N70&gt;='Резиденты — уровни'!$C$27,"A",IF(N70&gt;='Резиденты — уровни'!$C$28,"B","C")))</f>
        <v/>
      </c>
      <c r="P70" s="38"/>
      <c r="Q70" s="29" t="str">
        <f aca="false">IF(P70&lt;&gt;"",P70,O70)</f>
        <v/>
      </c>
      <c r="R70" s="38"/>
      <c r="S70" s="38"/>
      <c r="T70" s="38"/>
      <c r="U70" s="45" t="str">
        <f aca="false">IF(OR(F70="",D70=""),"",IF(G70=2,SUMIFS('Матрица 2027'!$J$6:$J$53,'Матрица 2027'!$B$6:$B$53,F70,'Матрица 2027'!$C$6:$C$53,D70),SUMIFS('Матрица 2027'!$I$6:$I$53,'Матрица 2027'!$B$6:$B$53,F70,'Матрица 2027'!$C$6:$C$53,D70)))</f>
        <v/>
      </c>
      <c r="V70" s="38"/>
    </row>
    <row r="71" customFormat="false" ht="15" hidden="false" customHeight="false" outlineLevel="0" collapsed="false">
      <c r="B71" s="24" t="str">
        <f aca="false">IF(C71="","",ROW()-4)</f>
        <v/>
      </c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40"/>
      <c r="N71" s="52" t="str">
        <f aca="false">IF(COUNT(H71:M71)&lt;6,"",ROUND((H71*'Резиденты — уровни'!$C$19+I71*'Резиденты — уровни'!$C$20+J71*'Резиденты — уровни'!$C$21+K71*'Резиденты — уровни'!$C$22+L71*'Резиденты — уровни'!$C$23+M71*'Резиденты — уровни'!$C$24)/SUM('Резиденты — уровни'!$C$19:$C$24),2))</f>
        <v/>
      </c>
      <c r="O71" s="39" t="str">
        <f aca="false">IF(N71="","",IF(N71&gt;='Резиденты — уровни'!$C$27,"A",IF(N71&gt;='Резиденты — уровни'!$C$28,"B","C")))</f>
        <v/>
      </c>
      <c r="P71" s="38"/>
      <c r="Q71" s="29" t="str">
        <f aca="false">IF(P71&lt;&gt;"",P71,O71)</f>
        <v/>
      </c>
      <c r="R71" s="38"/>
      <c r="S71" s="38"/>
      <c r="T71" s="38"/>
      <c r="U71" s="45" t="str">
        <f aca="false">IF(OR(F71="",D71=""),"",IF(G71=2,SUMIFS('Матрица 2027'!$J$6:$J$53,'Матрица 2027'!$B$6:$B$53,F71,'Матрица 2027'!$C$6:$C$53,D71),SUMIFS('Матрица 2027'!$I$6:$I$53,'Матрица 2027'!$B$6:$B$53,F71,'Матрица 2027'!$C$6:$C$53,D71)))</f>
        <v/>
      </c>
      <c r="V71" s="38"/>
    </row>
    <row r="72" customFormat="false" ht="15" hidden="false" customHeight="false" outlineLevel="0" collapsed="false">
      <c r="B72" s="24" t="str">
        <f aca="false">IF(C72="","",ROW()-4)</f>
        <v/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40"/>
      <c r="N72" s="52" t="str">
        <f aca="false">IF(COUNT(H72:M72)&lt;6,"",ROUND((H72*'Резиденты — уровни'!$C$19+I72*'Резиденты — уровни'!$C$20+J72*'Резиденты — уровни'!$C$21+K72*'Резиденты — уровни'!$C$22+L72*'Резиденты — уровни'!$C$23+M72*'Резиденты — уровни'!$C$24)/SUM('Резиденты — уровни'!$C$19:$C$24),2))</f>
        <v/>
      </c>
      <c r="O72" s="39" t="str">
        <f aca="false">IF(N72="","",IF(N72&gt;='Резиденты — уровни'!$C$27,"A",IF(N72&gt;='Резиденты — уровни'!$C$28,"B","C")))</f>
        <v/>
      </c>
      <c r="P72" s="38"/>
      <c r="Q72" s="29" t="str">
        <f aca="false">IF(P72&lt;&gt;"",P72,O72)</f>
        <v/>
      </c>
      <c r="R72" s="38"/>
      <c r="S72" s="38"/>
      <c r="T72" s="38"/>
      <c r="U72" s="45" t="str">
        <f aca="false">IF(OR(F72="",D72=""),"",IF(G72=2,SUMIFS('Матрица 2027'!$J$6:$J$53,'Матрица 2027'!$B$6:$B$53,F72,'Матрица 2027'!$C$6:$C$53,D72),SUMIFS('Матрица 2027'!$I$6:$I$53,'Матрица 2027'!$B$6:$B$53,F72,'Матрица 2027'!$C$6:$C$53,D72)))</f>
        <v/>
      </c>
      <c r="V72" s="38"/>
    </row>
    <row r="73" customFormat="false" ht="15" hidden="false" customHeight="false" outlineLevel="0" collapsed="false">
      <c r="B73" s="24" t="str">
        <f aca="false">IF(C73="","",ROW()-4)</f>
        <v/>
      </c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40"/>
      <c r="N73" s="52" t="str">
        <f aca="false">IF(COUNT(H73:M73)&lt;6,"",ROUND((H73*'Резиденты — уровни'!$C$19+I73*'Резиденты — уровни'!$C$20+J73*'Резиденты — уровни'!$C$21+K73*'Резиденты — уровни'!$C$22+L73*'Резиденты — уровни'!$C$23+M73*'Резиденты — уровни'!$C$24)/SUM('Резиденты — уровни'!$C$19:$C$24),2))</f>
        <v/>
      </c>
      <c r="O73" s="39" t="str">
        <f aca="false">IF(N73="","",IF(N73&gt;='Резиденты — уровни'!$C$27,"A",IF(N73&gt;='Резиденты — уровни'!$C$28,"B","C")))</f>
        <v/>
      </c>
      <c r="P73" s="38"/>
      <c r="Q73" s="29" t="str">
        <f aca="false">IF(P73&lt;&gt;"",P73,O73)</f>
        <v/>
      </c>
      <c r="R73" s="38"/>
      <c r="S73" s="38"/>
      <c r="T73" s="38"/>
      <c r="U73" s="45" t="str">
        <f aca="false">IF(OR(F73="",D73=""),"",IF(G73=2,SUMIFS('Матрица 2027'!$J$6:$J$53,'Матрица 2027'!$B$6:$B$53,F73,'Матрица 2027'!$C$6:$C$53,D73),SUMIFS('Матрица 2027'!$I$6:$I$53,'Матрица 2027'!$B$6:$B$53,F73,'Матрица 2027'!$C$6:$C$53,D73)))</f>
        <v/>
      </c>
      <c r="V73" s="38"/>
    </row>
    <row r="74" customFormat="false" ht="15" hidden="false" customHeight="false" outlineLevel="0" collapsed="false">
      <c r="B74" s="24" t="str">
        <f aca="false">IF(C74="","",ROW()-4)</f>
        <v/>
      </c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40"/>
      <c r="N74" s="52" t="str">
        <f aca="false">IF(COUNT(H74:M74)&lt;6,"",ROUND((H74*'Резиденты — уровни'!$C$19+I74*'Резиденты — уровни'!$C$20+J74*'Резиденты — уровни'!$C$21+K74*'Резиденты — уровни'!$C$22+L74*'Резиденты — уровни'!$C$23+M74*'Резиденты — уровни'!$C$24)/SUM('Резиденты — уровни'!$C$19:$C$24),2))</f>
        <v/>
      </c>
      <c r="O74" s="39" t="str">
        <f aca="false">IF(N74="","",IF(N74&gt;='Резиденты — уровни'!$C$27,"A",IF(N74&gt;='Резиденты — уровни'!$C$28,"B","C")))</f>
        <v/>
      </c>
      <c r="P74" s="38"/>
      <c r="Q74" s="29" t="str">
        <f aca="false">IF(P74&lt;&gt;"",P74,O74)</f>
        <v/>
      </c>
      <c r="R74" s="38"/>
      <c r="S74" s="38"/>
      <c r="T74" s="38"/>
      <c r="U74" s="45" t="str">
        <f aca="false">IF(OR(F74="",D74=""),"",IF(G74=2,SUMIFS('Матрица 2027'!$J$6:$J$53,'Матрица 2027'!$B$6:$B$53,F74,'Матрица 2027'!$C$6:$C$53,D74),SUMIFS('Матрица 2027'!$I$6:$I$53,'Матрица 2027'!$B$6:$B$53,F74,'Матрица 2027'!$C$6:$C$53,D74)))</f>
        <v/>
      </c>
      <c r="V74" s="38"/>
    </row>
    <row r="75" customFormat="false" ht="15" hidden="false" customHeight="false" outlineLevel="0" collapsed="false">
      <c r="B75" s="24" t="str">
        <f aca="false">IF(C75="","",ROW()-4)</f>
        <v/>
      </c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40"/>
      <c r="N75" s="52" t="str">
        <f aca="false">IF(COUNT(H75:M75)&lt;6,"",ROUND((H75*'Резиденты — уровни'!$C$19+I75*'Резиденты — уровни'!$C$20+J75*'Резиденты — уровни'!$C$21+K75*'Резиденты — уровни'!$C$22+L75*'Резиденты — уровни'!$C$23+M75*'Резиденты — уровни'!$C$24)/SUM('Резиденты — уровни'!$C$19:$C$24),2))</f>
        <v/>
      </c>
      <c r="O75" s="39" t="str">
        <f aca="false">IF(N75="","",IF(N75&gt;='Резиденты — уровни'!$C$27,"A",IF(N75&gt;='Резиденты — уровни'!$C$28,"B","C")))</f>
        <v/>
      </c>
      <c r="P75" s="38"/>
      <c r="Q75" s="29" t="str">
        <f aca="false">IF(P75&lt;&gt;"",P75,O75)</f>
        <v/>
      </c>
      <c r="R75" s="38"/>
      <c r="S75" s="38"/>
      <c r="T75" s="38"/>
      <c r="U75" s="45" t="str">
        <f aca="false">IF(OR(F75="",D75=""),"",IF(G75=2,SUMIFS('Матрица 2027'!$J$6:$J$53,'Матрица 2027'!$B$6:$B$53,F75,'Матрица 2027'!$C$6:$C$53,D75),SUMIFS('Матрица 2027'!$I$6:$I$53,'Матрица 2027'!$B$6:$B$53,F75,'Матрица 2027'!$C$6:$C$53,D75)))</f>
        <v/>
      </c>
      <c r="V75" s="38"/>
    </row>
    <row r="76" customFormat="false" ht="15" hidden="false" customHeight="false" outlineLevel="0" collapsed="false">
      <c r="B76" s="24" t="str">
        <f aca="false">IF(C76="","",ROW()-4)</f>
        <v/>
      </c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40"/>
      <c r="N76" s="52" t="str">
        <f aca="false">IF(COUNT(H76:M76)&lt;6,"",ROUND((H76*'Резиденты — уровни'!$C$19+I76*'Резиденты — уровни'!$C$20+J76*'Резиденты — уровни'!$C$21+K76*'Резиденты — уровни'!$C$22+L76*'Резиденты — уровни'!$C$23+M76*'Резиденты — уровни'!$C$24)/SUM('Резиденты — уровни'!$C$19:$C$24),2))</f>
        <v/>
      </c>
      <c r="O76" s="39" t="str">
        <f aca="false">IF(N76="","",IF(N76&gt;='Резиденты — уровни'!$C$27,"A",IF(N76&gt;='Резиденты — уровни'!$C$28,"B","C")))</f>
        <v/>
      </c>
      <c r="P76" s="38"/>
      <c r="Q76" s="29" t="str">
        <f aca="false">IF(P76&lt;&gt;"",P76,O76)</f>
        <v/>
      </c>
      <c r="R76" s="38"/>
      <c r="S76" s="38"/>
      <c r="T76" s="38"/>
      <c r="U76" s="45" t="str">
        <f aca="false">IF(OR(F76="",D76=""),"",IF(G76=2,SUMIFS('Матрица 2027'!$J$6:$J$53,'Матрица 2027'!$B$6:$B$53,F76,'Матрица 2027'!$C$6:$C$53,D76),SUMIFS('Матрица 2027'!$I$6:$I$53,'Матрица 2027'!$B$6:$B$53,F76,'Матрица 2027'!$C$6:$C$53,D76)))</f>
        <v/>
      </c>
      <c r="V76" s="38"/>
    </row>
    <row r="77" customFormat="false" ht="15" hidden="false" customHeight="false" outlineLevel="0" collapsed="false">
      <c r="B77" s="24" t="str">
        <f aca="false">IF(C77="","",ROW()-4)</f>
        <v/>
      </c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40"/>
      <c r="N77" s="52" t="str">
        <f aca="false">IF(COUNT(H77:M77)&lt;6,"",ROUND((H77*'Резиденты — уровни'!$C$19+I77*'Резиденты — уровни'!$C$20+J77*'Резиденты — уровни'!$C$21+K77*'Резиденты — уровни'!$C$22+L77*'Резиденты — уровни'!$C$23+M77*'Резиденты — уровни'!$C$24)/SUM('Резиденты — уровни'!$C$19:$C$24),2))</f>
        <v/>
      </c>
      <c r="O77" s="39" t="str">
        <f aca="false">IF(N77="","",IF(N77&gt;='Резиденты — уровни'!$C$27,"A",IF(N77&gt;='Резиденты — уровни'!$C$28,"B","C")))</f>
        <v/>
      </c>
      <c r="P77" s="38"/>
      <c r="Q77" s="29" t="str">
        <f aca="false">IF(P77&lt;&gt;"",P77,O77)</f>
        <v/>
      </c>
      <c r="R77" s="38"/>
      <c r="S77" s="38"/>
      <c r="T77" s="38"/>
      <c r="U77" s="45" t="str">
        <f aca="false">IF(OR(F77="",D77=""),"",IF(G77=2,SUMIFS('Матрица 2027'!$J$6:$J$53,'Матрица 2027'!$B$6:$B$53,F77,'Матрица 2027'!$C$6:$C$53,D77),SUMIFS('Матрица 2027'!$I$6:$I$53,'Матрица 2027'!$B$6:$B$53,F77,'Матрица 2027'!$C$6:$C$53,D77)))</f>
        <v/>
      </c>
      <c r="V77" s="38"/>
    </row>
    <row r="78" customFormat="false" ht="15" hidden="false" customHeight="false" outlineLevel="0" collapsed="false">
      <c r="B78" s="24" t="str">
        <f aca="false">IF(C78="","",ROW()-4)</f>
        <v/>
      </c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40"/>
      <c r="N78" s="52" t="str">
        <f aca="false">IF(COUNT(H78:M78)&lt;6,"",ROUND((H78*'Резиденты — уровни'!$C$19+I78*'Резиденты — уровни'!$C$20+J78*'Резиденты — уровни'!$C$21+K78*'Резиденты — уровни'!$C$22+L78*'Резиденты — уровни'!$C$23+M78*'Резиденты — уровни'!$C$24)/SUM('Резиденты — уровни'!$C$19:$C$24),2))</f>
        <v/>
      </c>
      <c r="O78" s="39" t="str">
        <f aca="false">IF(N78="","",IF(N78&gt;='Резиденты — уровни'!$C$27,"A",IF(N78&gt;='Резиденты — уровни'!$C$28,"B","C")))</f>
        <v/>
      </c>
      <c r="P78" s="38"/>
      <c r="Q78" s="29" t="str">
        <f aca="false">IF(P78&lt;&gt;"",P78,O78)</f>
        <v/>
      </c>
      <c r="R78" s="38"/>
      <c r="S78" s="38"/>
      <c r="T78" s="38"/>
      <c r="U78" s="45" t="str">
        <f aca="false">IF(OR(F78="",D78=""),"",IF(G78=2,SUMIFS('Матрица 2027'!$J$6:$J$53,'Матрица 2027'!$B$6:$B$53,F78,'Матрица 2027'!$C$6:$C$53,D78),SUMIFS('Матрица 2027'!$I$6:$I$53,'Матрица 2027'!$B$6:$B$53,F78,'Матрица 2027'!$C$6:$C$53,D78)))</f>
        <v/>
      </c>
      <c r="V78" s="38"/>
    </row>
    <row r="79" customFormat="false" ht="15" hidden="false" customHeight="false" outlineLevel="0" collapsed="false">
      <c r="B79" s="24" t="str">
        <f aca="false">IF(C79="","",ROW()-4)</f>
        <v/>
      </c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40"/>
      <c r="N79" s="52" t="str">
        <f aca="false">IF(COUNT(H79:M79)&lt;6,"",ROUND((H79*'Резиденты — уровни'!$C$19+I79*'Резиденты — уровни'!$C$20+J79*'Резиденты — уровни'!$C$21+K79*'Резиденты — уровни'!$C$22+L79*'Резиденты — уровни'!$C$23+M79*'Резиденты — уровни'!$C$24)/SUM('Резиденты — уровни'!$C$19:$C$24),2))</f>
        <v/>
      </c>
      <c r="O79" s="39" t="str">
        <f aca="false">IF(N79="","",IF(N79&gt;='Резиденты — уровни'!$C$27,"A",IF(N79&gt;='Резиденты — уровни'!$C$28,"B","C")))</f>
        <v/>
      </c>
      <c r="P79" s="38"/>
      <c r="Q79" s="29" t="str">
        <f aca="false">IF(P79&lt;&gt;"",P79,O79)</f>
        <v/>
      </c>
      <c r="R79" s="38"/>
      <c r="S79" s="38"/>
      <c r="T79" s="38"/>
      <c r="U79" s="45" t="str">
        <f aca="false">IF(OR(F79="",D79=""),"",IF(G79=2,SUMIFS('Матрица 2027'!$J$6:$J$53,'Матрица 2027'!$B$6:$B$53,F79,'Матрица 2027'!$C$6:$C$53,D79),SUMIFS('Матрица 2027'!$I$6:$I$53,'Матрица 2027'!$B$6:$B$53,F79,'Матрица 2027'!$C$6:$C$53,D79)))</f>
        <v/>
      </c>
      <c r="V79" s="38"/>
    </row>
    <row r="80" customFormat="false" ht="15" hidden="false" customHeight="false" outlineLevel="0" collapsed="false">
      <c r="B80" s="24" t="str">
        <f aca="false">IF(C80="","",ROW()-4)</f>
        <v/>
      </c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40"/>
      <c r="N80" s="52" t="str">
        <f aca="false">IF(COUNT(H80:M80)&lt;6,"",ROUND((H80*'Резиденты — уровни'!$C$19+I80*'Резиденты — уровни'!$C$20+J80*'Резиденты — уровни'!$C$21+K80*'Резиденты — уровни'!$C$22+L80*'Резиденты — уровни'!$C$23+M80*'Резиденты — уровни'!$C$24)/SUM('Резиденты — уровни'!$C$19:$C$24),2))</f>
        <v/>
      </c>
      <c r="O80" s="39" t="str">
        <f aca="false">IF(N80="","",IF(N80&gt;='Резиденты — уровни'!$C$27,"A",IF(N80&gt;='Резиденты — уровни'!$C$28,"B","C")))</f>
        <v/>
      </c>
      <c r="P80" s="38"/>
      <c r="Q80" s="29" t="str">
        <f aca="false">IF(P80&lt;&gt;"",P80,O80)</f>
        <v/>
      </c>
      <c r="R80" s="38"/>
      <c r="S80" s="38"/>
      <c r="T80" s="38"/>
      <c r="U80" s="45" t="str">
        <f aca="false">IF(OR(F80="",D80=""),"",IF(G80=2,SUMIFS('Матрица 2027'!$J$6:$J$53,'Матрица 2027'!$B$6:$B$53,F80,'Матрица 2027'!$C$6:$C$53,D80),SUMIFS('Матрица 2027'!$I$6:$I$53,'Матрица 2027'!$B$6:$B$53,F80,'Матрица 2027'!$C$6:$C$53,D80)))</f>
        <v/>
      </c>
      <c r="V80" s="38"/>
    </row>
    <row r="81" customFormat="false" ht="15" hidden="false" customHeight="false" outlineLevel="0" collapsed="false">
      <c r="B81" s="24" t="str">
        <f aca="false">IF(C81="","",ROW()-4)</f>
        <v/>
      </c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40"/>
      <c r="N81" s="52" t="str">
        <f aca="false">IF(COUNT(H81:M81)&lt;6,"",ROUND((H81*'Резиденты — уровни'!$C$19+I81*'Резиденты — уровни'!$C$20+J81*'Резиденты — уровни'!$C$21+K81*'Резиденты — уровни'!$C$22+L81*'Резиденты — уровни'!$C$23+M81*'Резиденты — уровни'!$C$24)/SUM('Резиденты — уровни'!$C$19:$C$24),2))</f>
        <v/>
      </c>
      <c r="O81" s="39" t="str">
        <f aca="false">IF(N81="","",IF(N81&gt;='Резиденты — уровни'!$C$27,"A",IF(N81&gt;='Резиденты — уровни'!$C$28,"B","C")))</f>
        <v/>
      </c>
      <c r="P81" s="38"/>
      <c r="Q81" s="29" t="str">
        <f aca="false">IF(P81&lt;&gt;"",P81,O81)</f>
        <v/>
      </c>
      <c r="R81" s="38"/>
      <c r="S81" s="38"/>
      <c r="T81" s="38"/>
      <c r="U81" s="45" t="str">
        <f aca="false">IF(OR(F81="",D81=""),"",IF(G81=2,SUMIFS('Матрица 2027'!$J$6:$J$53,'Матрица 2027'!$B$6:$B$53,F81,'Матрица 2027'!$C$6:$C$53,D81),SUMIFS('Матрица 2027'!$I$6:$I$53,'Матрица 2027'!$B$6:$B$53,F81,'Матрица 2027'!$C$6:$C$53,D81)))</f>
        <v/>
      </c>
      <c r="V81" s="38"/>
    </row>
    <row r="82" customFormat="false" ht="15" hidden="false" customHeight="false" outlineLevel="0" collapsed="false">
      <c r="B82" s="24" t="str">
        <f aca="false">IF(C82="","",ROW()-4)</f>
        <v/>
      </c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40"/>
      <c r="N82" s="52" t="str">
        <f aca="false">IF(COUNT(H82:M82)&lt;6,"",ROUND((H82*'Резиденты — уровни'!$C$19+I82*'Резиденты — уровни'!$C$20+J82*'Резиденты — уровни'!$C$21+K82*'Резиденты — уровни'!$C$22+L82*'Резиденты — уровни'!$C$23+M82*'Резиденты — уровни'!$C$24)/SUM('Резиденты — уровни'!$C$19:$C$24),2))</f>
        <v/>
      </c>
      <c r="O82" s="39" t="str">
        <f aca="false">IF(N82="","",IF(N82&gt;='Резиденты — уровни'!$C$27,"A",IF(N82&gt;='Резиденты — уровни'!$C$28,"B","C")))</f>
        <v/>
      </c>
      <c r="P82" s="38"/>
      <c r="Q82" s="29" t="str">
        <f aca="false">IF(P82&lt;&gt;"",P82,O82)</f>
        <v/>
      </c>
      <c r="R82" s="38"/>
      <c r="S82" s="38"/>
      <c r="T82" s="38"/>
      <c r="U82" s="45" t="str">
        <f aca="false">IF(OR(F82="",D82=""),"",IF(G82=2,SUMIFS('Матрица 2027'!$J$6:$J$53,'Матрица 2027'!$B$6:$B$53,F82,'Матрица 2027'!$C$6:$C$53,D82),SUMIFS('Матрица 2027'!$I$6:$I$53,'Матрица 2027'!$B$6:$B$53,F82,'Матрица 2027'!$C$6:$C$53,D82)))</f>
        <v/>
      </c>
      <c r="V82" s="38"/>
    </row>
    <row r="83" customFormat="false" ht="15" hidden="false" customHeight="false" outlineLevel="0" collapsed="false">
      <c r="B83" s="24" t="str">
        <f aca="false">IF(C83="","",ROW()-4)</f>
        <v/>
      </c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40"/>
      <c r="N83" s="52" t="str">
        <f aca="false">IF(COUNT(H83:M83)&lt;6,"",ROUND((H83*'Резиденты — уровни'!$C$19+I83*'Резиденты — уровни'!$C$20+J83*'Резиденты — уровни'!$C$21+K83*'Резиденты — уровни'!$C$22+L83*'Резиденты — уровни'!$C$23+M83*'Резиденты — уровни'!$C$24)/SUM('Резиденты — уровни'!$C$19:$C$24),2))</f>
        <v/>
      </c>
      <c r="O83" s="39" t="str">
        <f aca="false">IF(N83="","",IF(N83&gt;='Резиденты — уровни'!$C$27,"A",IF(N83&gt;='Резиденты — уровни'!$C$28,"B","C")))</f>
        <v/>
      </c>
      <c r="P83" s="38"/>
      <c r="Q83" s="29" t="str">
        <f aca="false">IF(P83&lt;&gt;"",P83,O83)</f>
        <v/>
      </c>
      <c r="R83" s="38"/>
      <c r="S83" s="38"/>
      <c r="T83" s="38"/>
      <c r="U83" s="45" t="str">
        <f aca="false">IF(OR(F83="",D83=""),"",IF(G83=2,SUMIFS('Матрица 2027'!$J$6:$J$53,'Матрица 2027'!$B$6:$B$53,F83,'Матрица 2027'!$C$6:$C$53,D83),SUMIFS('Матрица 2027'!$I$6:$I$53,'Матрица 2027'!$B$6:$B$53,F83,'Матрица 2027'!$C$6:$C$53,D83)))</f>
        <v/>
      </c>
      <c r="V83" s="38"/>
    </row>
    <row r="84" customFormat="false" ht="15" hidden="false" customHeight="false" outlineLevel="0" collapsed="false">
      <c r="B84" s="24" t="str">
        <f aca="false">IF(C84="","",ROW()-4)</f>
        <v/>
      </c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40"/>
      <c r="N84" s="52" t="str">
        <f aca="false">IF(COUNT(H84:M84)&lt;6,"",ROUND((H84*'Резиденты — уровни'!$C$19+I84*'Резиденты — уровни'!$C$20+J84*'Резиденты — уровни'!$C$21+K84*'Резиденты — уровни'!$C$22+L84*'Резиденты — уровни'!$C$23+M84*'Резиденты — уровни'!$C$24)/SUM('Резиденты — уровни'!$C$19:$C$24),2))</f>
        <v/>
      </c>
      <c r="O84" s="39" t="str">
        <f aca="false">IF(N84="","",IF(N84&gt;='Резиденты — уровни'!$C$27,"A",IF(N84&gt;='Резиденты — уровни'!$C$28,"B","C")))</f>
        <v/>
      </c>
      <c r="P84" s="38"/>
      <c r="Q84" s="29" t="str">
        <f aca="false">IF(P84&lt;&gt;"",P84,O84)</f>
        <v/>
      </c>
      <c r="R84" s="38"/>
      <c r="S84" s="38"/>
      <c r="T84" s="38"/>
      <c r="U84" s="45" t="str">
        <f aca="false">IF(OR(F84="",D84=""),"",IF(G84=2,SUMIFS('Матрица 2027'!$J$6:$J$53,'Матрица 2027'!$B$6:$B$53,F84,'Матрица 2027'!$C$6:$C$53,D84),SUMIFS('Матрица 2027'!$I$6:$I$53,'Матрица 2027'!$B$6:$B$53,F84,'Матрица 2027'!$C$6:$C$53,D84)))</f>
        <v/>
      </c>
      <c r="V84" s="38"/>
    </row>
    <row r="85" customFormat="false" ht="15" hidden="false" customHeight="false" outlineLevel="0" collapsed="false">
      <c r="B85" s="24" t="str">
        <f aca="false">IF(C85="","",ROW()-4)</f>
        <v/>
      </c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40"/>
      <c r="N85" s="52" t="str">
        <f aca="false">IF(COUNT(H85:M85)&lt;6,"",ROUND((H85*'Резиденты — уровни'!$C$19+I85*'Резиденты — уровни'!$C$20+J85*'Резиденты — уровни'!$C$21+K85*'Резиденты — уровни'!$C$22+L85*'Резиденты — уровни'!$C$23+M85*'Резиденты — уровни'!$C$24)/SUM('Резиденты — уровни'!$C$19:$C$24),2))</f>
        <v/>
      </c>
      <c r="O85" s="39" t="str">
        <f aca="false">IF(N85="","",IF(N85&gt;='Резиденты — уровни'!$C$27,"A",IF(N85&gt;='Резиденты — уровни'!$C$28,"B","C")))</f>
        <v/>
      </c>
      <c r="P85" s="38"/>
      <c r="Q85" s="29" t="str">
        <f aca="false">IF(P85&lt;&gt;"",P85,O85)</f>
        <v/>
      </c>
      <c r="R85" s="38"/>
      <c r="S85" s="38"/>
      <c r="T85" s="38"/>
      <c r="U85" s="45" t="str">
        <f aca="false">IF(OR(F85="",D85=""),"",IF(G85=2,SUMIFS('Матрица 2027'!$J$6:$J$53,'Матрица 2027'!$B$6:$B$53,F85,'Матрица 2027'!$C$6:$C$53,D85),SUMIFS('Матрица 2027'!$I$6:$I$53,'Матрица 2027'!$B$6:$B$53,F85,'Матрица 2027'!$C$6:$C$53,D85)))</f>
        <v/>
      </c>
      <c r="V85" s="38"/>
    </row>
    <row r="86" customFormat="false" ht="15" hidden="false" customHeight="false" outlineLevel="0" collapsed="false">
      <c r="B86" s="24" t="str">
        <f aca="false">IF(C86="","",ROW()-4)</f>
        <v/>
      </c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40"/>
      <c r="N86" s="52" t="str">
        <f aca="false">IF(COUNT(H86:M86)&lt;6,"",ROUND((H86*'Резиденты — уровни'!$C$19+I86*'Резиденты — уровни'!$C$20+J86*'Резиденты — уровни'!$C$21+K86*'Резиденты — уровни'!$C$22+L86*'Резиденты — уровни'!$C$23+M86*'Резиденты — уровни'!$C$24)/SUM('Резиденты — уровни'!$C$19:$C$24),2))</f>
        <v/>
      </c>
      <c r="O86" s="39" t="str">
        <f aca="false">IF(N86="","",IF(N86&gt;='Резиденты — уровни'!$C$27,"A",IF(N86&gt;='Резиденты — уровни'!$C$28,"B","C")))</f>
        <v/>
      </c>
      <c r="P86" s="38"/>
      <c r="Q86" s="29" t="str">
        <f aca="false">IF(P86&lt;&gt;"",P86,O86)</f>
        <v/>
      </c>
      <c r="R86" s="38"/>
      <c r="S86" s="38"/>
      <c r="T86" s="38"/>
      <c r="U86" s="45" t="str">
        <f aca="false">IF(OR(F86="",D86=""),"",IF(G86=2,SUMIFS('Матрица 2027'!$J$6:$J$53,'Матрица 2027'!$B$6:$B$53,F86,'Матрица 2027'!$C$6:$C$53,D86),SUMIFS('Матрица 2027'!$I$6:$I$53,'Матрица 2027'!$B$6:$B$53,F86,'Матрица 2027'!$C$6:$C$53,D86)))</f>
        <v/>
      </c>
      <c r="V86" s="38"/>
    </row>
    <row r="87" customFormat="false" ht="15" hidden="false" customHeight="false" outlineLevel="0" collapsed="false">
      <c r="B87" s="24" t="str">
        <f aca="false">IF(C87="","",ROW()-4)</f>
        <v/>
      </c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40"/>
      <c r="N87" s="52" t="str">
        <f aca="false">IF(COUNT(H87:M87)&lt;6,"",ROUND((H87*'Резиденты — уровни'!$C$19+I87*'Резиденты — уровни'!$C$20+J87*'Резиденты — уровни'!$C$21+K87*'Резиденты — уровни'!$C$22+L87*'Резиденты — уровни'!$C$23+M87*'Резиденты — уровни'!$C$24)/SUM('Резиденты — уровни'!$C$19:$C$24),2))</f>
        <v/>
      </c>
      <c r="O87" s="39" t="str">
        <f aca="false">IF(N87="","",IF(N87&gt;='Резиденты — уровни'!$C$27,"A",IF(N87&gt;='Резиденты — уровни'!$C$28,"B","C")))</f>
        <v/>
      </c>
      <c r="P87" s="38"/>
      <c r="Q87" s="29" t="str">
        <f aca="false">IF(P87&lt;&gt;"",P87,O87)</f>
        <v/>
      </c>
      <c r="R87" s="38"/>
      <c r="S87" s="38"/>
      <c r="T87" s="38"/>
      <c r="U87" s="45" t="str">
        <f aca="false">IF(OR(F87="",D87=""),"",IF(G87=2,SUMIFS('Матрица 2027'!$J$6:$J$53,'Матрица 2027'!$B$6:$B$53,F87,'Матрица 2027'!$C$6:$C$53,D87),SUMIFS('Матрица 2027'!$I$6:$I$53,'Матрица 2027'!$B$6:$B$53,F87,'Матрица 2027'!$C$6:$C$53,D87)))</f>
        <v/>
      </c>
      <c r="V87" s="38"/>
    </row>
    <row r="88" customFormat="false" ht="15" hidden="false" customHeight="false" outlineLevel="0" collapsed="false">
      <c r="B88" s="24" t="str">
        <f aca="false">IF(C88="","",ROW()-4)</f>
        <v/>
      </c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40"/>
      <c r="N88" s="52" t="str">
        <f aca="false">IF(COUNT(H88:M88)&lt;6,"",ROUND((H88*'Резиденты — уровни'!$C$19+I88*'Резиденты — уровни'!$C$20+J88*'Резиденты — уровни'!$C$21+K88*'Резиденты — уровни'!$C$22+L88*'Резиденты — уровни'!$C$23+M88*'Резиденты — уровни'!$C$24)/SUM('Резиденты — уровни'!$C$19:$C$24),2))</f>
        <v/>
      </c>
      <c r="O88" s="39" t="str">
        <f aca="false">IF(N88="","",IF(N88&gt;='Резиденты — уровни'!$C$27,"A",IF(N88&gt;='Резиденты — уровни'!$C$28,"B","C")))</f>
        <v/>
      </c>
      <c r="P88" s="38"/>
      <c r="Q88" s="29" t="str">
        <f aca="false">IF(P88&lt;&gt;"",P88,O88)</f>
        <v/>
      </c>
      <c r="R88" s="38"/>
      <c r="S88" s="38"/>
      <c r="T88" s="38"/>
      <c r="U88" s="45" t="str">
        <f aca="false">IF(OR(F88="",D88=""),"",IF(G88=2,SUMIFS('Матрица 2027'!$J$6:$J$53,'Матрица 2027'!$B$6:$B$53,F88,'Матрица 2027'!$C$6:$C$53,D88),SUMIFS('Матрица 2027'!$I$6:$I$53,'Матрица 2027'!$B$6:$B$53,F88,'Матрица 2027'!$C$6:$C$53,D88)))</f>
        <v/>
      </c>
      <c r="V88" s="38"/>
    </row>
    <row r="89" customFormat="false" ht="15" hidden="false" customHeight="false" outlineLevel="0" collapsed="false">
      <c r="B89" s="24" t="str">
        <f aca="false">IF(C89="","",ROW()-4)</f>
        <v/>
      </c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40"/>
      <c r="N89" s="52" t="str">
        <f aca="false">IF(COUNT(H89:M89)&lt;6,"",ROUND((H89*'Резиденты — уровни'!$C$19+I89*'Резиденты — уровни'!$C$20+J89*'Резиденты — уровни'!$C$21+K89*'Резиденты — уровни'!$C$22+L89*'Резиденты — уровни'!$C$23+M89*'Резиденты — уровни'!$C$24)/SUM('Резиденты — уровни'!$C$19:$C$24),2))</f>
        <v/>
      </c>
      <c r="O89" s="39" t="str">
        <f aca="false">IF(N89="","",IF(N89&gt;='Резиденты — уровни'!$C$27,"A",IF(N89&gt;='Резиденты — уровни'!$C$28,"B","C")))</f>
        <v/>
      </c>
      <c r="P89" s="38"/>
      <c r="Q89" s="29" t="str">
        <f aca="false">IF(P89&lt;&gt;"",P89,O89)</f>
        <v/>
      </c>
      <c r="R89" s="38"/>
      <c r="S89" s="38"/>
      <c r="T89" s="38"/>
      <c r="U89" s="45" t="str">
        <f aca="false">IF(OR(F89="",D89=""),"",IF(G89=2,SUMIFS('Матрица 2027'!$J$6:$J$53,'Матрица 2027'!$B$6:$B$53,F89,'Матрица 2027'!$C$6:$C$53,D89),SUMIFS('Матрица 2027'!$I$6:$I$53,'Матрица 2027'!$B$6:$B$53,F89,'Матрица 2027'!$C$6:$C$53,D89)))</f>
        <v/>
      </c>
      <c r="V89" s="38"/>
    </row>
    <row r="90" customFormat="false" ht="15" hidden="false" customHeight="false" outlineLevel="0" collapsed="false">
      <c r="B90" s="24" t="str">
        <f aca="false">IF(C90="","",ROW()-4)</f>
        <v/>
      </c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40"/>
      <c r="N90" s="52" t="str">
        <f aca="false">IF(COUNT(H90:M90)&lt;6,"",ROUND((H90*'Резиденты — уровни'!$C$19+I90*'Резиденты — уровни'!$C$20+J90*'Резиденты — уровни'!$C$21+K90*'Резиденты — уровни'!$C$22+L90*'Резиденты — уровни'!$C$23+M90*'Резиденты — уровни'!$C$24)/SUM('Резиденты — уровни'!$C$19:$C$24),2))</f>
        <v/>
      </c>
      <c r="O90" s="39" t="str">
        <f aca="false">IF(N90="","",IF(N90&gt;='Резиденты — уровни'!$C$27,"A",IF(N90&gt;='Резиденты — уровни'!$C$28,"B","C")))</f>
        <v/>
      </c>
      <c r="P90" s="38"/>
      <c r="Q90" s="29" t="str">
        <f aca="false">IF(P90&lt;&gt;"",P90,O90)</f>
        <v/>
      </c>
      <c r="R90" s="38"/>
      <c r="S90" s="38"/>
      <c r="T90" s="38"/>
      <c r="U90" s="45" t="str">
        <f aca="false">IF(OR(F90="",D90=""),"",IF(G90=2,SUMIFS('Матрица 2027'!$J$6:$J$53,'Матрица 2027'!$B$6:$B$53,F90,'Матрица 2027'!$C$6:$C$53,D90),SUMIFS('Матрица 2027'!$I$6:$I$53,'Матрица 2027'!$B$6:$B$53,F90,'Матрица 2027'!$C$6:$C$53,D90)))</f>
        <v/>
      </c>
      <c r="V90" s="38"/>
    </row>
    <row r="91" customFormat="false" ht="15" hidden="false" customHeight="false" outlineLevel="0" collapsed="false">
      <c r="B91" s="24" t="str">
        <f aca="false">IF(C91="","",ROW()-4)</f>
        <v/>
      </c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40"/>
      <c r="N91" s="52" t="str">
        <f aca="false">IF(COUNT(H91:M91)&lt;6,"",ROUND((H91*'Резиденты — уровни'!$C$19+I91*'Резиденты — уровни'!$C$20+J91*'Резиденты — уровни'!$C$21+K91*'Резиденты — уровни'!$C$22+L91*'Резиденты — уровни'!$C$23+M91*'Резиденты — уровни'!$C$24)/SUM('Резиденты — уровни'!$C$19:$C$24),2))</f>
        <v/>
      </c>
      <c r="O91" s="39" t="str">
        <f aca="false">IF(N91="","",IF(N91&gt;='Резиденты — уровни'!$C$27,"A",IF(N91&gt;='Резиденты — уровни'!$C$28,"B","C")))</f>
        <v/>
      </c>
      <c r="P91" s="38"/>
      <c r="Q91" s="29" t="str">
        <f aca="false">IF(P91&lt;&gt;"",P91,O91)</f>
        <v/>
      </c>
      <c r="R91" s="38"/>
      <c r="S91" s="38"/>
      <c r="T91" s="38"/>
      <c r="U91" s="45" t="str">
        <f aca="false">IF(OR(F91="",D91=""),"",IF(G91=2,SUMIFS('Матрица 2027'!$J$6:$J$53,'Матрица 2027'!$B$6:$B$53,F91,'Матрица 2027'!$C$6:$C$53,D91),SUMIFS('Матрица 2027'!$I$6:$I$53,'Матрица 2027'!$B$6:$B$53,F91,'Матрица 2027'!$C$6:$C$53,D91)))</f>
        <v/>
      </c>
      <c r="V91" s="38"/>
    </row>
    <row r="92" customFormat="false" ht="15" hidden="false" customHeight="false" outlineLevel="0" collapsed="false">
      <c r="B92" s="24" t="str">
        <f aca="false">IF(C92="","",ROW()-4)</f>
        <v/>
      </c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40"/>
      <c r="N92" s="52" t="str">
        <f aca="false">IF(COUNT(H92:M92)&lt;6,"",ROUND((H92*'Резиденты — уровни'!$C$19+I92*'Резиденты — уровни'!$C$20+J92*'Резиденты — уровни'!$C$21+K92*'Резиденты — уровни'!$C$22+L92*'Резиденты — уровни'!$C$23+M92*'Резиденты — уровни'!$C$24)/SUM('Резиденты — уровни'!$C$19:$C$24),2))</f>
        <v/>
      </c>
      <c r="O92" s="39" t="str">
        <f aca="false">IF(N92="","",IF(N92&gt;='Резиденты — уровни'!$C$27,"A",IF(N92&gt;='Резиденты — уровни'!$C$28,"B","C")))</f>
        <v/>
      </c>
      <c r="P92" s="38"/>
      <c r="Q92" s="29" t="str">
        <f aca="false">IF(P92&lt;&gt;"",P92,O92)</f>
        <v/>
      </c>
      <c r="R92" s="38"/>
      <c r="S92" s="38"/>
      <c r="T92" s="38"/>
      <c r="U92" s="45" t="str">
        <f aca="false">IF(OR(F92="",D92=""),"",IF(G92=2,SUMIFS('Матрица 2027'!$J$6:$J$53,'Матрица 2027'!$B$6:$B$53,F92,'Матрица 2027'!$C$6:$C$53,D92),SUMIFS('Матрица 2027'!$I$6:$I$53,'Матрица 2027'!$B$6:$B$53,F92,'Матрица 2027'!$C$6:$C$53,D92)))</f>
        <v/>
      </c>
      <c r="V92" s="38"/>
    </row>
    <row r="93" customFormat="false" ht="15" hidden="false" customHeight="false" outlineLevel="0" collapsed="false">
      <c r="B93" s="24" t="str">
        <f aca="false">IF(C93="","",ROW()-4)</f>
        <v/>
      </c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40"/>
      <c r="N93" s="52" t="str">
        <f aca="false">IF(COUNT(H93:M93)&lt;6,"",ROUND((H93*'Резиденты — уровни'!$C$19+I93*'Резиденты — уровни'!$C$20+J93*'Резиденты — уровни'!$C$21+K93*'Резиденты — уровни'!$C$22+L93*'Резиденты — уровни'!$C$23+M93*'Резиденты — уровни'!$C$24)/SUM('Резиденты — уровни'!$C$19:$C$24),2))</f>
        <v/>
      </c>
      <c r="O93" s="39" t="str">
        <f aca="false">IF(N93="","",IF(N93&gt;='Резиденты — уровни'!$C$27,"A",IF(N93&gt;='Резиденты — уровни'!$C$28,"B","C")))</f>
        <v/>
      </c>
      <c r="P93" s="38"/>
      <c r="Q93" s="29" t="str">
        <f aca="false">IF(P93&lt;&gt;"",P93,O93)</f>
        <v/>
      </c>
      <c r="R93" s="38"/>
      <c r="S93" s="38"/>
      <c r="T93" s="38"/>
      <c r="U93" s="45" t="str">
        <f aca="false">IF(OR(F93="",D93=""),"",IF(G93=2,SUMIFS('Матрица 2027'!$J$6:$J$53,'Матрица 2027'!$B$6:$B$53,F93,'Матрица 2027'!$C$6:$C$53,D93),SUMIFS('Матрица 2027'!$I$6:$I$53,'Матрица 2027'!$B$6:$B$53,F93,'Матрица 2027'!$C$6:$C$53,D93)))</f>
        <v/>
      </c>
      <c r="V93" s="38"/>
    </row>
    <row r="94" customFormat="false" ht="15" hidden="false" customHeight="false" outlineLevel="0" collapsed="false">
      <c r="B94" s="24" t="str">
        <f aca="false">IF(C94="","",ROW()-4)</f>
        <v/>
      </c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40"/>
      <c r="N94" s="52" t="str">
        <f aca="false">IF(COUNT(H94:M94)&lt;6,"",ROUND((H94*'Резиденты — уровни'!$C$19+I94*'Резиденты — уровни'!$C$20+J94*'Резиденты — уровни'!$C$21+K94*'Резиденты — уровни'!$C$22+L94*'Резиденты — уровни'!$C$23+M94*'Резиденты — уровни'!$C$24)/SUM('Резиденты — уровни'!$C$19:$C$24),2))</f>
        <v/>
      </c>
      <c r="O94" s="39" t="str">
        <f aca="false">IF(N94="","",IF(N94&gt;='Резиденты — уровни'!$C$27,"A",IF(N94&gt;='Резиденты — уровни'!$C$28,"B","C")))</f>
        <v/>
      </c>
      <c r="P94" s="38"/>
      <c r="Q94" s="29" t="str">
        <f aca="false">IF(P94&lt;&gt;"",P94,O94)</f>
        <v/>
      </c>
      <c r="R94" s="38"/>
      <c r="S94" s="38"/>
      <c r="T94" s="38"/>
      <c r="U94" s="45" t="str">
        <f aca="false">IF(OR(F94="",D94=""),"",IF(G94=2,SUMIFS('Матрица 2027'!$J$6:$J$53,'Матрица 2027'!$B$6:$B$53,F94,'Матрица 2027'!$C$6:$C$53,D94),SUMIFS('Матрица 2027'!$I$6:$I$53,'Матрица 2027'!$B$6:$B$53,F94,'Матрица 2027'!$C$6:$C$53,D94)))</f>
        <v/>
      </c>
      <c r="V94" s="38"/>
    </row>
    <row r="95" customFormat="false" ht="15" hidden="false" customHeight="false" outlineLevel="0" collapsed="false">
      <c r="B95" s="24" t="str">
        <f aca="false">IF(C95="","",ROW()-4)</f>
        <v/>
      </c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40"/>
      <c r="N95" s="52" t="str">
        <f aca="false">IF(COUNT(H95:M95)&lt;6,"",ROUND((H95*'Резиденты — уровни'!$C$19+I95*'Резиденты — уровни'!$C$20+J95*'Резиденты — уровни'!$C$21+K95*'Резиденты — уровни'!$C$22+L95*'Резиденты — уровни'!$C$23+M95*'Резиденты — уровни'!$C$24)/SUM('Резиденты — уровни'!$C$19:$C$24),2))</f>
        <v/>
      </c>
      <c r="O95" s="39" t="str">
        <f aca="false">IF(N95="","",IF(N95&gt;='Резиденты — уровни'!$C$27,"A",IF(N95&gt;='Резиденты — уровни'!$C$28,"B","C")))</f>
        <v/>
      </c>
      <c r="P95" s="38"/>
      <c r="Q95" s="29" t="str">
        <f aca="false">IF(P95&lt;&gt;"",P95,O95)</f>
        <v/>
      </c>
      <c r="R95" s="38"/>
      <c r="S95" s="38"/>
      <c r="T95" s="38"/>
      <c r="U95" s="45" t="str">
        <f aca="false">IF(OR(F95="",D95=""),"",IF(G95=2,SUMIFS('Матрица 2027'!$J$6:$J$53,'Матрица 2027'!$B$6:$B$53,F95,'Матрица 2027'!$C$6:$C$53,D95),SUMIFS('Матрица 2027'!$I$6:$I$53,'Матрица 2027'!$B$6:$B$53,F95,'Матрица 2027'!$C$6:$C$53,D95)))</f>
        <v/>
      </c>
      <c r="V95" s="38"/>
    </row>
    <row r="96" customFormat="false" ht="15" hidden="false" customHeight="false" outlineLevel="0" collapsed="false">
      <c r="B96" s="24" t="str">
        <f aca="false">IF(C96="","",ROW()-4)</f>
        <v/>
      </c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40"/>
      <c r="N96" s="52" t="str">
        <f aca="false">IF(COUNT(H96:M96)&lt;6,"",ROUND((H96*'Резиденты — уровни'!$C$19+I96*'Резиденты — уровни'!$C$20+J96*'Резиденты — уровни'!$C$21+K96*'Резиденты — уровни'!$C$22+L96*'Резиденты — уровни'!$C$23+M96*'Резиденты — уровни'!$C$24)/SUM('Резиденты — уровни'!$C$19:$C$24),2))</f>
        <v/>
      </c>
      <c r="O96" s="39" t="str">
        <f aca="false">IF(N96="","",IF(N96&gt;='Резиденты — уровни'!$C$27,"A",IF(N96&gt;='Резиденты — уровни'!$C$28,"B","C")))</f>
        <v/>
      </c>
      <c r="P96" s="38"/>
      <c r="Q96" s="29" t="str">
        <f aca="false">IF(P96&lt;&gt;"",P96,O96)</f>
        <v/>
      </c>
      <c r="R96" s="38"/>
      <c r="S96" s="38"/>
      <c r="T96" s="38"/>
      <c r="U96" s="45" t="str">
        <f aca="false">IF(OR(F96="",D96=""),"",IF(G96=2,SUMIFS('Матрица 2027'!$J$6:$J$53,'Матрица 2027'!$B$6:$B$53,F96,'Матрица 2027'!$C$6:$C$53,D96),SUMIFS('Матрица 2027'!$I$6:$I$53,'Матрица 2027'!$B$6:$B$53,F96,'Матрица 2027'!$C$6:$C$53,D96)))</f>
        <v/>
      </c>
      <c r="V96" s="38"/>
    </row>
    <row r="97" customFormat="false" ht="15" hidden="false" customHeight="false" outlineLevel="0" collapsed="false">
      <c r="B97" s="24" t="str">
        <f aca="false">IF(C97="","",ROW()-4)</f>
        <v/>
      </c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40"/>
      <c r="N97" s="52" t="str">
        <f aca="false">IF(COUNT(H97:M97)&lt;6,"",ROUND((H97*'Резиденты — уровни'!$C$19+I97*'Резиденты — уровни'!$C$20+J97*'Резиденты — уровни'!$C$21+K97*'Резиденты — уровни'!$C$22+L97*'Резиденты — уровни'!$C$23+M97*'Резиденты — уровни'!$C$24)/SUM('Резиденты — уровни'!$C$19:$C$24),2))</f>
        <v/>
      </c>
      <c r="O97" s="39" t="str">
        <f aca="false">IF(N97="","",IF(N97&gt;='Резиденты — уровни'!$C$27,"A",IF(N97&gt;='Резиденты — уровни'!$C$28,"B","C")))</f>
        <v/>
      </c>
      <c r="P97" s="38"/>
      <c r="Q97" s="29" t="str">
        <f aca="false">IF(P97&lt;&gt;"",P97,O97)</f>
        <v/>
      </c>
      <c r="R97" s="38"/>
      <c r="S97" s="38"/>
      <c r="T97" s="38"/>
      <c r="U97" s="45" t="str">
        <f aca="false">IF(OR(F97="",D97=""),"",IF(G97=2,SUMIFS('Матрица 2027'!$J$6:$J$53,'Матрица 2027'!$B$6:$B$53,F97,'Матрица 2027'!$C$6:$C$53,D97),SUMIFS('Матрица 2027'!$I$6:$I$53,'Матрица 2027'!$B$6:$B$53,F97,'Матрица 2027'!$C$6:$C$53,D97)))</f>
        <v/>
      </c>
      <c r="V97" s="38"/>
    </row>
    <row r="98" customFormat="false" ht="15" hidden="false" customHeight="false" outlineLevel="0" collapsed="false">
      <c r="B98" s="24" t="str">
        <f aca="false">IF(C98="","",ROW()-4)</f>
        <v/>
      </c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40"/>
      <c r="N98" s="52" t="str">
        <f aca="false">IF(COUNT(H98:M98)&lt;6,"",ROUND((H98*'Резиденты — уровни'!$C$19+I98*'Резиденты — уровни'!$C$20+J98*'Резиденты — уровни'!$C$21+K98*'Резиденты — уровни'!$C$22+L98*'Резиденты — уровни'!$C$23+M98*'Резиденты — уровни'!$C$24)/SUM('Резиденты — уровни'!$C$19:$C$24),2))</f>
        <v/>
      </c>
      <c r="O98" s="39" t="str">
        <f aca="false">IF(N98="","",IF(N98&gt;='Резиденты — уровни'!$C$27,"A",IF(N98&gt;='Резиденты — уровни'!$C$28,"B","C")))</f>
        <v/>
      </c>
      <c r="P98" s="38"/>
      <c r="Q98" s="29" t="str">
        <f aca="false">IF(P98&lt;&gt;"",P98,O98)</f>
        <v/>
      </c>
      <c r="R98" s="38"/>
      <c r="S98" s="38"/>
      <c r="T98" s="38"/>
      <c r="U98" s="45" t="str">
        <f aca="false">IF(OR(F98="",D98=""),"",IF(G98=2,SUMIFS('Матрица 2027'!$J$6:$J$53,'Матрица 2027'!$B$6:$B$53,F98,'Матрица 2027'!$C$6:$C$53,D98),SUMIFS('Матрица 2027'!$I$6:$I$53,'Матрица 2027'!$B$6:$B$53,F98,'Матрица 2027'!$C$6:$C$53,D98)))</f>
        <v/>
      </c>
      <c r="V98" s="38"/>
    </row>
    <row r="99" customFormat="false" ht="15" hidden="false" customHeight="false" outlineLevel="0" collapsed="false">
      <c r="B99" s="24" t="str">
        <f aca="false">IF(C99="","",ROW()-4)</f>
        <v/>
      </c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40"/>
      <c r="N99" s="52" t="str">
        <f aca="false">IF(COUNT(H99:M99)&lt;6,"",ROUND((H99*'Резиденты — уровни'!$C$19+I99*'Резиденты — уровни'!$C$20+J99*'Резиденты — уровни'!$C$21+K99*'Резиденты — уровни'!$C$22+L99*'Резиденты — уровни'!$C$23+M99*'Резиденты — уровни'!$C$24)/SUM('Резиденты — уровни'!$C$19:$C$24),2))</f>
        <v/>
      </c>
      <c r="O99" s="39" t="str">
        <f aca="false">IF(N99="","",IF(N99&gt;='Резиденты — уровни'!$C$27,"A",IF(N99&gt;='Резиденты — уровни'!$C$28,"B","C")))</f>
        <v/>
      </c>
      <c r="P99" s="38"/>
      <c r="Q99" s="29" t="str">
        <f aca="false">IF(P99&lt;&gt;"",P99,O99)</f>
        <v/>
      </c>
      <c r="R99" s="38"/>
      <c r="S99" s="38"/>
      <c r="T99" s="38"/>
      <c r="U99" s="45" t="str">
        <f aca="false">IF(OR(F99="",D99=""),"",IF(G99=2,SUMIFS('Матрица 2027'!$J$6:$J$53,'Матрица 2027'!$B$6:$B$53,F99,'Матрица 2027'!$C$6:$C$53,D99),SUMIFS('Матрица 2027'!$I$6:$I$53,'Матрица 2027'!$B$6:$B$53,F99,'Матрица 2027'!$C$6:$C$53,D99)))</f>
        <v/>
      </c>
      <c r="V99" s="38"/>
    </row>
    <row r="100" customFormat="false" ht="15" hidden="false" customHeight="false" outlineLevel="0" collapsed="false">
      <c r="B100" s="24" t="str">
        <f aca="false">IF(C100="","",ROW()-4)</f>
        <v/>
      </c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40"/>
      <c r="N100" s="52" t="str">
        <f aca="false">IF(COUNT(H100:M100)&lt;6,"",ROUND((H100*'Резиденты — уровни'!$C$19+I100*'Резиденты — уровни'!$C$20+J100*'Резиденты — уровни'!$C$21+K100*'Резиденты — уровни'!$C$22+L100*'Резиденты — уровни'!$C$23+M100*'Резиденты — уровни'!$C$24)/SUM('Резиденты — уровни'!$C$19:$C$24),2))</f>
        <v/>
      </c>
      <c r="O100" s="39" t="str">
        <f aca="false">IF(N100="","",IF(N100&gt;='Резиденты — уровни'!$C$27,"A",IF(N100&gt;='Резиденты — уровни'!$C$28,"B","C")))</f>
        <v/>
      </c>
      <c r="P100" s="38"/>
      <c r="Q100" s="29" t="str">
        <f aca="false">IF(P100&lt;&gt;"",P100,O100)</f>
        <v/>
      </c>
      <c r="R100" s="38"/>
      <c r="S100" s="38"/>
      <c r="T100" s="38"/>
      <c r="U100" s="45" t="str">
        <f aca="false">IF(OR(F100="",D100=""),"",IF(G100=2,SUMIFS('Матрица 2027'!$J$6:$J$53,'Матрица 2027'!$B$6:$B$53,F100,'Матрица 2027'!$C$6:$C$53,D100),SUMIFS('Матрица 2027'!$I$6:$I$53,'Матрица 2027'!$B$6:$B$53,F100,'Матрица 2027'!$C$6:$C$53,D100)))</f>
        <v/>
      </c>
      <c r="V100" s="38"/>
    </row>
    <row r="101" customFormat="false" ht="15" hidden="false" customHeight="false" outlineLevel="0" collapsed="false">
      <c r="B101" s="24" t="str">
        <f aca="false">IF(C101="","",ROW()-4)</f>
        <v/>
      </c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40"/>
      <c r="N101" s="52" t="str">
        <f aca="false">IF(COUNT(H101:M101)&lt;6,"",ROUND((H101*'Резиденты — уровни'!$C$19+I101*'Резиденты — уровни'!$C$20+J101*'Резиденты — уровни'!$C$21+K101*'Резиденты — уровни'!$C$22+L101*'Резиденты — уровни'!$C$23+M101*'Резиденты — уровни'!$C$24)/SUM('Резиденты — уровни'!$C$19:$C$24),2))</f>
        <v/>
      </c>
      <c r="O101" s="39" t="str">
        <f aca="false">IF(N101="","",IF(N101&gt;='Резиденты — уровни'!$C$27,"A",IF(N101&gt;='Резиденты — уровни'!$C$28,"B","C")))</f>
        <v/>
      </c>
      <c r="P101" s="38"/>
      <c r="Q101" s="29" t="str">
        <f aca="false">IF(P101&lt;&gt;"",P101,O101)</f>
        <v/>
      </c>
      <c r="R101" s="38"/>
      <c r="S101" s="38"/>
      <c r="T101" s="38"/>
      <c r="U101" s="45" t="str">
        <f aca="false">IF(OR(F101="",D101=""),"",IF(G101=2,SUMIFS('Матрица 2027'!$J$6:$J$53,'Матрица 2027'!$B$6:$B$53,F101,'Матрица 2027'!$C$6:$C$53,D101),SUMIFS('Матрица 2027'!$I$6:$I$53,'Матрица 2027'!$B$6:$B$53,F101,'Матрица 2027'!$C$6:$C$53,D101)))</f>
        <v/>
      </c>
      <c r="V101" s="38"/>
    </row>
    <row r="102" customFormat="false" ht="15" hidden="false" customHeight="false" outlineLevel="0" collapsed="false">
      <c r="B102" s="24" t="str">
        <f aca="false">IF(C102="","",ROW()-4)</f>
        <v/>
      </c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40"/>
      <c r="N102" s="52" t="str">
        <f aca="false">IF(COUNT(H102:M102)&lt;6,"",ROUND((H102*'Резиденты — уровни'!$C$19+I102*'Резиденты — уровни'!$C$20+J102*'Резиденты — уровни'!$C$21+K102*'Резиденты — уровни'!$C$22+L102*'Резиденты — уровни'!$C$23+M102*'Резиденты — уровни'!$C$24)/SUM('Резиденты — уровни'!$C$19:$C$24),2))</f>
        <v/>
      </c>
      <c r="O102" s="39" t="str">
        <f aca="false">IF(N102="","",IF(N102&gt;='Резиденты — уровни'!$C$27,"A",IF(N102&gt;='Резиденты — уровни'!$C$28,"B","C")))</f>
        <v/>
      </c>
      <c r="P102" s="38"/>
      <c r="Q102" s="29" t="str">
        <f aca="false">IF(P102&lt;&gt;"",P102,O102)</f>
        <v/>
      </c>
      <c r="R102" s="38"/>
      <c r="S102" s="38"/>
      <c r="T102" s="38"/>
      <c r="U102" s="45" t="str">
        <f aca="false">IF(OR(F102="",D102=""),"",IF(G102=2,SUMIFS('Матрица 2027'!$J$6:$J$53,'Матрица 2027'!$B$6:$B$53,F102,'Матрица 2027'!$C$6:$C$53,D102),SUMIFS('Матрица 2027'!$I$6:$I$53,'Матрица 2027'!$B$6:$B$53,F102,'Матрица 2027'!$C$6:$C$53,D102)))</f>
        <v/>
      </c>
      <c r="V102" s="38"/>
    </row>
    <row r="103" customFormat="false" ht="15" hidden="false" customHeight="false" outlineLevel="0" collapsed="false">
      <c r="B103" s="24" t="str">
        <f aca="false">IF(C103="","",ROW()-4)</f>
        <v/>
      </c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40"/>
      <c r="N103" s="52" t="str">
        <f aca="false">IF(COUNT(H103:M103)&lt;6,"",ROUND((H103*'Резиденты — уровни'!$C$19+I103*'Резиденты — уровни'!$C$20+J103*'Резиденты — уровни'!$C$21+K103*'Резиденты — уровни'!$C$22+L103*'Резиденты — уровни'!$C$23+M103*'Резиденты — уровни'!$C$24)/SUM('Резиденты — уровни'!$C$19:$C$24),2))</f>
        <v/>
      </c>
      <c r="O103" s="39" t="str">
        <f aca="false">IF(N103="","",IF(N103&gt;='Резиденты — уровни'!$C$27,"A",IF(N103&gt;='Резиденты — уровни'!$C$28,"B","C")))</f>
        <v/>
      </c>
      <c r="P103" s="38"/>
      <c r="Q103" s="29" t="str">
        <f aca="false">IF(P103&lt;&gt;"",P103,O103)</f>
        <v/>
      </c>
      <c r="R103" s="38"/>
      <c r="S103" s="38"/>
      <c r="T103" s="38"/>
      <c r="U103" s="45" t="str">
        <f aca="false">IF(OR(F103="",D103=""),"",IF(G103=2,SUMIFS('Матрица 2027'!$J$6:$J$53,'Матрица 2027'!$B$6:$B$53,F103,'Матрица 2027'!$C$6:$C$53,D103),SUMIFS('Матрица 2027'!$I$6:$I$53,'Матрица 2027'!$B$6:$B$53,F103,'Матрица 2027'!$C$6:$C$53,D103)))</f>
        <v/>
      </c>
      <c r="V103" s="38"/>
    </row>
    <row r="104" customFormat="false" ht="15" hidden="false" customHeight="false" outlineLevel="0" collapsed="false">
      <c r="B104" s="24" t="str">
        <f aca="false">IF(C104="","",ROW()-4)</f>
        <v/>
      </c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40"/>
      <c r="N104" s="52" t="str">
        <f aca="false">IF(COUNT(H104:M104)&lt;6,"",ROUND((H104*'Резиденты — уровни'!$C$19+I104*'Резиденты — уровни'!$C$20+J104*'Резиденты — уровни'!$C$21+K104*'Резиденты — уровни'!$C$22+L104*'Резиденты — уровни'!$C$23+M104*'Резиденты — уровни'!$C$24)/SUM('Резиденты — уровни'!$C$19:$C$24),2))</f>
        <v/>
      </c>
      <c r="O104" s="39" t="str">
        <f aca="false">IF(N104="","",IF(N104&gt;='Резиденты — уровни'!$C$27,"A",IF(N104&gt;='Резиденты — уровни'!$C$28,"B","C")))</f>
        <v/>
      </c>
      <c r="P104" s="38"/>
      <c r="Q104" s="29" t="str">
        <f aca="false">IF(P104&lt;&gt;"",P104,O104)</f>
        <v/>
      </c>
      <c r="R104" s="38"/>
      <c r="S104" s="38"/>
      <c r="T104" s="38"/>
      <c r="U104" s="45" t="str">
        <f aca="false">IF(OR(F104="",D104=""),"",IF(G104=2,SUMIFS('Матрица 2027'!$J$6:$J$53,'Матрица 2027'!$B$6:$B$53,F104,'Матрица 2027'!$C$6:$C$53,D104),SUMIFS('Матрица 2027'!$I$6:$I$53,'Матрица 2027'!$B$6:$B$53,F104,'Матрица 2027'!$C$6:$C$53,D104)))</f>
        <v/>
      </c>
      <c r="V104" s="38"/>
    </row>
    <row r="105" customFormat="false" ht="15" hidden="false" customHeight="false" outlineLevel="0" collapsed="false">
      <c r="B105" s="24" t="str">
        <f aca="false">IF(C105="","",ROW()-4)</f>
        <v/>
      </c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40"/>
      <c r="N105" s="52" t="str">
        <f aca="false">IF(COUNT(H105:M105)&lt;6,"",ROUND((H105*'Резиденты — уровни'!$C$19+I105*'Резиденты — уровни'!$C$20+J105*'Резиденты — уровни'!$C$21+K105*'Резиденты — уровни'!$C$22+L105*'Резиденты — уровни'!$C$23+M105*'Резиденты — уровни'!$C$24)/SUM('Резиденты — уровни'!$C$19:$C$24),2))</f>
        <v/>
      </c>
      <c r="O105" s="39" t="str">
        <f aca="false">IF(N105="","",IF(N105&gt;='Резиденты — уровни'!$C$27,"A",IF(N105&gt;='Резиденты — уровни'!$C$28,"B","C")))</f>
        <v/>
      </c>
      <c r="P105" s="38"/>
      <c r="Q105" s="29" t="str">
        <f aca="false">IF(P105&lt;&gt;"",P105,O105)</f>
        <v/>
      </c>
      <c r="R105" s="38"/>
      <c r="S105" s="38"/>
      <c r="T105" s="38"/>
      <c r="U105" s="45" t="str">
        <f aca="false">IF(OR(F105="",D105=""),"",IF(G105=2,SUMIFS('Матрица 2027'!$J$6:$J$53,'Матрица 2027'!$B$6:$B$53,F105,'Матрица 2027'!$C$6:$C$53,D105),SUMIFS('Матрица 2027'!$I$6:$I$53,'Матрица 2027'!$B$6:$B$53,F105,'Матрица 2027'!$C$6:$C$53,D105)))</f>
        <v/>
      </c>
      <c r="V105" s="38"/>
    </row>
    <row r="106" customFormat="false" ht="15" hidden="false" customHeight="false" outlineLevel="0" collapsed="false">
      <c r="B106" s="24" t="str">
        <f aca="false">IF(C106="","",ROW()-4)</f>
        <v/>
      </c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40"/>
      <c r="N106" s="52" t="str">
        <f aca="false">IF(COUNT(H106:M106)&lt;6,"",ROUND((H106*'Резиденты — уровни'!$C$19+I106*'Резиденты — уровни'!$C$20+J106*'Резиденты — уровни'!$C$21+K106*'Резиденты — уровни'!$C$22+L106*'Резиденты — уровни'!$C$23+M106*'Резиденты — уровни'!$C$24)/SUM('Резиденты — уровни'!$C$19:$C$24),2))</f>
        <v/>
      </c>
      <c r="O106" s="39" t="str">
        <f aca="false">IF(N106="","",IF(N106&gt;='Резиденты — уровни'!$C$27,"A",IF(N106&gt;='Резиденты — уровни'!$C$28,"B","C")))</f>
        <v/>
      </c>
      <c r="P106" s="38"/>
      <c r="Q106" s="29" t="str">
        <f aca="false">IF(P106&lt;&gt;"",P106,O106)</f>
        <v/>
      </c>
      <c r="R106" s="38"/>
      <c r="S106" s="38"/>
      <c r="T106" s="38"/>
      <c r="U106" s="45" t="str">
        <f aca="false">IF(OR(F106="",D106=""),"",IF(G106=2,SUMIFS('Матрица 2027'!$J$6:$J$53,'Матрица 2027'!$B$6:$B$53,F106,'Матрица 2027'!$C$6:$C$53,D106),SUMIFS('Матрица 2027'!$I$6:$I$53,'Матрица 2027'!$B$6:$B$53,F106,'Матрица 2027'!$C$6:$C$53,D106)))</f>
        <v/>
      </c>
      <c r="V106" s="38"/>
    </row>
    <row r="107" customFormat="false" ht="15" hidden="false" customHeight="false" outlineLevel="0" collapsed="false">
      <c r="B107" s="24" t="str">
        <f aca="false">IF(C107="","",ROW()-4)</f>
        <v/>
      </c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40"/>
      <c r="N107" s="52" t="str">
        <f aca="false">IF(COUNT(H107:M107)&lt;6,"",ROUND((H107*'Резиденты — уровни'!$C$19+I107*'Резиденты — уровни'!$C$20+J107*'Резиденты — уровни'!$C$21+K107*'Резиденты — уровни'!$C$22+L107*'Резиденты — уровни'!$C$23+M107*'Резиденты — уровни'!$C$24)/SUM('Резиденты — уровни'!$C$19:$C$24),2))</f>
        <v/>
      </c>
      <c r="O107" s="39" t="str">
        <f aca="false">IF(N107="","",IF(N107&gt;='Резиденты — уровни'!$C$27,"A",IF(N107&gt;='Резиденты — уровни'!$C$28,"B","C")))</f>
        <v/>
      </c>
      <c r="P107" s="38"/>
      <c r="Q107" s="29" t="str">
        <f aca="false">IF(P107&lt;&gt;"",P107,O107)</f>
        <v/>
      </c>
      <c r="R107" s="38"/>
      <c r="S107" s="38"/>
      <c r="T107" s="38"/>
      <c r="U107" s="45" t="str">
        <f aca="false">IF(OR(F107="",D107=""),"",IF(G107=2,SUMIFS('Матрица 2027'!$J$6:$J$53,'Матрица 2027'!$B$6:$B$53,F107,'Матрица 2027'!$C$6:$C$53,D107),SUMIFS('Матрица 2027'!$I$6:$I$53,'Матрица 2027'!$B$6:$B$53,F107,'Матрица 2027'!$C$6:$C$53,D107)))</f>
        <v/>
      </c>
      <c r="V107" s="38"/>
    </row>
    <row r="108" customFormat="false" ht="15" hidden="false" customHeight="false" outlineLevel="0" collapsed="false">
      <c r="B108" s="24" t="str">
        <f aca="false">IF(C108="","",ROW()-4)</f>
        <v/>
      </c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40"/>
      <c r="N108" s="52" t="str">
        <f aca="false">IF(COUNT(H108:M108)&lt;6,"",ROUND((H108*'Резиденты — уровни'!$C$19+I108*'Резиденты — уровни'!$C$20+J108*'Резиденты — уровни'!$C$21+K108*'Резиденты — уровни'!$C$22+L108*'Резиденты — уровни'!$C$23+M108*'Резиденты — уровни'!$C$24)/SUM('Резиденты — уровни'!$C$19:$C$24),2))</f>
        <v/>
      </c>
      <c r="O108" s="39" t="str">
        <f aca="false">IF(N108="","",IF(N108&gt;='Резиденты — уровни'!$C$27,"A",IF(N108&gt;='Резиденты — уровни'!$C$28,"B","C")))</f>
        <v/>
      </c>
      <c r="P108" s="38"/>
      <c r="Q108" s="29" t="str">
        <f aca="false">IF(P108&lt;&gt;"",P108,O108)</f>
        <v/>
      </c>
      <c r="R108" s="38"/>
      <c r="S108" s="38"/>
      <c r="T108" s="38"/>
      <c r="U108" s="45" t="str">
        <f aca="false">IF(OR(F108="",D108=""),"",IF(G108=2,SUMIFS('Матрица 2027'!$J$6:$J$53,'Матрица 2027'!$B$6:$B$53,F108,'Матрица 2027'!$C$6:$C$53,D108),SUMIFS('Матрица 2027'!$I$6:$I$53,'Матрица 2027'!$B$6:$B$53,F108,'Матрица 2027'!$C$6:$C$53,D108)))</f>
        <v/>
      </c>
      <c r="V108" s="38"/>
    </row>
    <row r="109" customFormat="false" ht="15" hidden="false" customHeight="false" outlineLevel="0" collapsed="false">
      <c r="B109" s="24" t="str">
        <f aca="false">IF(C109="","",ROW()-4)</f>
        <v/>
      </c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40"/>
      <c r="N109" s="52" t="str">
        <f aca="false">IF(COUNT(H109:M109)&lt;6,"",ROUND((H109*'Резиденты — уровни'!$C$19+I109*'Резиденты — уровни'!$C$20+J109*'Резиденты — уровни'!$C$21+K109*'Резиденты — уровни'!$C$22+L109*'Резиденты — уровни'!$C$23+M109*'Резиденты — уровни'!$C$24)/SUM('Резиденты — уровни'!$C$19:$C$24),2))</f>
        <v/>
      </c>
      <c r="O109" s="39" t="str">
        <f aca="false">IF(N109="","",IF(N109&gt;='Резиденты — уровни'!$C$27,"A",IF(N109&gt;='Резиденты — уровни'!$C$28,"B","C")))</f>
        <v/>
      </c>
      <c r="P109" s="38"/>
      <c r="Q109" s="29" t="str">
        <f aca="false">IF(P109&lt;&gt;"",P109,O109)</f>
        <v/>
      </c>
      <c r="R109" s="38"/>
      <c r="S109" s="38"/>
      <c r="T109" s="38"/>
      <c r="U109" s="45" t="str">
        <f aca="false">IF(OR(F109="",D109=""),"",IF(G109=2,SUMIFS('Матрица 2027'!$J$6:$J$53,'Матрица 2027'!$B$6:$B$53,F109,'Матрица 2027'!$C$6:$C$53,D109),SUMIFS('Матрица 2027'!$I$6:$I$53,'Матрица 2027'!$B$6:$B$53,F109,'Матрица 2027'!$C$6:$C$53,D109)))</f>
        <v/>
      </c>
      <c r="V109" s="38"/>
    </row>
    <row r="110" customFormat="false" ht="15" hidden="false" customHeight="false" outlineLevel="0" collapsed="false">
      <c r="B110" s="24" t="str">
        <f aca="false">IF(C110="","",ROW()-4)</f>
        <v/>
      </c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40"/>
      <c r="N110" s="52" t="str">
        <f aca="false">IF(COUNT(H110:M110)&lt;6,"",ROUND((H110*'Резиденты — уровни'!$C$19+I110*'Резиденты — уровни'!$C$20+J110*'Резиденты — уровни'!$C$21+K110*'Резиденты — уровни'!$C$22+L110*'Резиденты — уровни'!$C$23+M110*'Резиденты — уровни'!$C$24)/SUM('Резиденты — уровни'!$C$19:$C$24),2))</f>
        <v/>
      </c>
      <c r="O110" s="39" t="str">
        <f aca="false">IF(N110="","",IF(N110&gt;='Резиденты — уровни'!$C$27,"A",IF(N110&gt;='Резиденты — уровни'!$C$28,"B","C")))</f>
        <v/>
      </c>
      <c r="P110" s="38"/>
      <c r="Q110" s="29" t="str">
        <f aca="false">IF(P110&lt;&gt;"",P110,O110)</f>
        <v/>
      </c>
      <c r="R110" s="38"/>
      <c r="S110" s="38"/>
      <c r="T110" s="38"/>
      <c r="U110" s="45" t="str">
        <f aca="false">IF(OR(F110="",D110=""),"",IF(G110=2,SUMIFS('Матрица 2027'!$J$6:$J$53,'Матрица 2027'!$B$6:$B$53,F110,'Матрица 2027'!$C$6:$C$53,D110),SUMIFS('Матрица 2027'!$I$6:$I$53,'Матрица 2027'!$B$6:$B$53,F110,'Матрица 2027'!$C$6:$C$53,D110)))</f>
        <v/>
      </c>
      <c r="V110" s="38"/>
    </row>
    <row r="111" customFormat="false" ht="15" hidden="false" customHeight="false" outlineLevel="0" collapsed="false">
      <c r="B111" s="24" t="str">
        <f aca="false">IF(C111="","",ROW()-4)</f>
        <v/>
      </c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40"/>
      <c r="N111" s="52" t="str">
        <f aca="false">IF(COUNT(H111:M111)&lt;6,"",ROUND((H111*'Резиденты — уровни'!$C$19+I111*'Резиденты — уровни'!$C$20+J111*'Резиденты — уровни'!$C$21+K111*'Резиденты — уровни'!$C$22+L111*'Резиденты — уровни'!$C$23+M111*'Резиденты — уровни'!$C$24)/SUM('Резиденты — уровни'!$C$19:$C$24),2))</f>
        <v/>
      </c>
      <c r="O111" s="39" t="str">
        <f aca="false">IF(N111="","",IF(N111&gt;='Резиденты — уровни'!$C$27,"A",IF(N111&gt;='Резиденты — уровни'!$C$28,"B","C")))</f>
        <v/>
      </c>
      <c r="P111" s="38"/>
      <c r="Q111" s="29" t="str">
        <f aca="false">IF(P111&lt;&gt;"",P111,O111)</f>
        <v/>
      </c>
      <c r="R111" s="38"/>
      <c r="S111" s="38"/>
      <c r="T111" s="38"/>
      <c r="U111" s="45" t="str">
        <f aca="false">IF(OR(F111="",D111=""),"",IF(G111=2,SUMIFS('Матрица 2027'!$J$6:$J$53,'Матрица 2027'!$B$6:$B$53,F111,'Матрица 2027'!$C$6:$C$53,D111),SUMIFS('Матрица 2027'!$I$6:$I$53,'Матрица 2027'!$B$6:$B$53,F111,'Матрица 2027'!$C$6:$C$53,D111)))</f>
        <v/>
      </c>
      <c r="V111" s="38"/>
    </row>
    <row r="112" customFormat="false" ht="15" hidden="false" customHeight="false" outlineLevel="0" collapsed="false">
      <c r="B112" s="24" t="str">
        <f aca="false">IF(C112="","",ROW()-4)</f>
        <v/>
      </c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40"/>
      <c r="N112" s="52" t="str">
        <f aca="false">IF(COUNT(H112:M112)&lt;6,"",ROUND((H112*'Резиденты — уровни'!$C$19+I112*'Резиденты — уровни'!$C$20+J112*'Резиденты — уровни'!$C$21+K112*'Резиденты — уровни'!$C$22+L112*'Резиденты — уровни'!$C$23+M112*'Резиденты — уровни'!$C$24)/SUM('Резиденты — уровни'!$C$19:$C$24),2))</f>
        <v/>
      </c>
      <c r="O112" s="39" t="str">
        <f aca="false">IF(N112="","",IF(N112&gt;='Резиденты — уровни'!$C$27,"A",IF(N112&gt;='Резиденты — уровни'!$C$28,"B","C")))</f>
        <v/>
      </c>
      <c r="P112" s="38"/>
      <c r="Q112" s="29" t="str">
        <f aca="false">IF(P112&lt;&gt;"",P112,O112)</f>
        <v/>
      </c>
      <c r="R112" s="38"/>
      <c r="S112" s="38"/>
      <c r="T112" s="38"/>
      <c r="U112" s="45" t="str">
        <f aca="false">IF(OR(F112="",D112=""),"",IF(G112=2,SUMIFS('Матрица 2027'!$J$6:$J$53,'Матрица 2027'!$B$6:$B$53,F112,'Матрица 2027'!$C$6:$C$53,D112),SUMIFS('Матрица 2027'!$I$6:$I$53,'Матрица 2027'!$B$6:$B$53,F112,'Матрица 2027'!$C$6:$C$53,D112)))</f>
        <v/>
      </c>
      <c r="V112" s="38"/>
    </row>
    <row r="113" customFormat="false" ht="15" hidden="false" customHeight="false" outlineLevel="0" collapsed="false">
      <c r="B113" s="24" t="str">
        <f aca="false">IF(C113="","",ROW()-4)</f>
        <v/>
      </c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40"/>
      <c r="N113" s="52" t="str">
        <f aca="false">IF(COUNT(H113:M113)&lt;6,"",ROUND((H113*'Резиденты — уровни'!$C$19+I113*'Резиденты — уровни'!$C$20+J113*'Резиденты — уровни'!$C$21+K113*'Резиденты — уровни'!$C$22+L113*'Резиденты — уровни'!$C$23+M113*'Резиденты — уровни'!$C$24)/SUM('Резиденты — уровни'!$C$19:$C$24),2))</f>
        <v/>
      </c>
      <c r="O113" s="39" t="str">
        <f aca="false">IF(N113="","",IF(N113&gt;='Резиденты — уровни'!$C$27,"A",IF(N113&gt;='Резиденты — уровни'!$C$28,"B","C")))</f>
        <v/>
      </c>
      <c r="P113" s="38"/>
      <c r="Q113" s="29" t="str">
        <f aca="false">IF(P113&lt;&gt;"",P113,O113)</f>
        <v/>
      </c>
      <c r="R113" s="38"/>
      <c r="S113" s="38"/>
      <c r="T113" s="38"/>
      <c r="U113" s="45" t="str">
        <f aca="false">IF(OR(F113="",D113=""),"",IF(G113=2,SUMIFS('Матрица 2027'!$J$6:$J$53,'Матрица 2027'!$B$6:$B$53,F113,'Матрица 2027'!$C$6:$C$53,D113),SUMIFS('Матрица 2027'!$I$6:$I$53,'Матрица 2027'!$B$6:$B$53,F113,'Матрица 2027'!$C$6:$C$53,D113)))</f>
        <v/>
      </c>
      <c r="V113" s="38"/>
    </row>
    <row r="114" customFormat="false" ht="15" hidden="false" customHeight="false" outlineLevel="0" collapsed="false">
      <c r="B114" s="24" t="str">
        <f aca="false">IF(C114="","",ROW()-4)</f>
        <v/>
      </c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40"/>
      <c r="N114" s="52" t="str">
        <f aca="false">IF(COUNT(H114:M114)&lt;6,"",ROUND((H114*'Резиденты — уровни'!$C$19+I114*'Резиденты — уровни'!$C$20+J114*'Резиденты — уровни'!$C$21+K114*'Резиденты — уровни'!$C$22+L114*'Резиденты — уровни'!$C$23+M114*'Резиденты — уровни'!$C$24)/SUM('Резиденты — уровни'!$C$19:$C$24),2))</f>
        <v/>
      </c>
      <c r="O114" s="39" t="str">
        <f aca="false">IF(N114="","",IF(N114&gt;='Резиденты — уровни'!$C$27,"A",IF(N114&gt;='Резиденты — уровни'!$C$28,"B","C")))</f>
        <v/>
      </c>
      <c r="P114" s="38"/>
      <c r="Q114" s="29" t="str">
        <f aca="false">IF(P114&lt;&gt;"",P114,O114)</f>
        <v/>
      </c>
      <c r="R114" s="38"/>
      <c r="S114" s="38"/>
      <c r="T114" s="38"/>
      <c r="U114" s="45" t="str">
        <f aca="false">IF(OR(F114="",D114=""),"",IF(G114=2,SUMIFS('Матрица 2027'!$J$6:$J$53,'Матрица 2027'!$B$6:$B$53,F114,'Матрица 2027'!$C$6:$C$53,D114),SUMIFS('Матрица 2027'!$I$6:$I$53,'Матрица 2027'!$B$6:$B$53,F114,'Матрица 2027'!$C$6:$C$53,D114)))</f>
        <v/>
      </c>
      <c r="V114" s="38"/>
    </row>
    <row r="115" customFormat="false" ht="15" hidden="false" customHeight="false" outlineLevel="0" collapsed="false">
      <c r="B115" s="24" t="str">
        <f aca="false">IF(C115="","",ROW()-4)</f>
        <v/>
      </c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40"/>
      <c r="N115" s="52" t="str">
        <f aca="false">IF(COUNT(H115:M115)&lt;6,"",ROUND((H115*'Резиденты — уровни'!$C$19+I115*'Резиденты — уровни'!$C$20+J115*'Резиденты — уровни'!$C$21+K115*'Резиденты — уровни'!$C$22+L115*'Резиденты — уровни'!$C$23+M115*'Резиденты — уровни'!$C$24)/SUM('Резиденты — уровни'!$C$19:$C$24),2))</f>
        <v/>
      </c>
      <c r="O115" s="39" t="str">
        <f aca="false">IF(N115="","",IF(N115&gt;='Резиденты — уровни'!$C$27,"A",IF(N115&gt;='Резиденты — уровни'!$C$28,"B","C")))</f>
        <v/>
      </c>
      <c r="P115" s="38"/>
      <c r="Q115" s="29" t="str">
        <f aca="false">IF(P115&lt;&gt;"",P115,O115)</f>
        <v/>
      </c>
      <c r="R115" s="38"/>
      <c r="S115" s="38"/>
      <c r="T115" s="38"/>
      <c r="U115" s="45" t="str">
        <f aca="false">IF(OR(F115="",D115=""),"",IF(G115=2,SUMIFS('Матрица 2027'!$J$6:$J$53,'Матрица 2027'!$B$6:$B$53,F115,'Матрица 2027'!$C$6:$C$53,D115),SUMIFS('Матрица 2027'!$I$6:$I$53,'Матрица 2027'!$B$6:$B$53,F115,'Матрица 2027'!$C$6:$C$53,D115)))</f>
        <v/>
      </c>
      <c r="V115" s="38"/>
    </row>
    <row r="116" customFormat="false" ht="15" hidden="false" customHeight="false" outlineLevel="0" collapsed="false">
      <c r="B116" s="24" t="str">
        <f aca="false">IF(C116="","",ROW()-4)</f>
        <v/>
      </c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40"/>
      <c r="N116" s="52" t="str">
        <f aca="false">IF(COUNT(H116:M116)&lt;6,"",ROUND((H116*'Резиденты — уровни'!$C$19+I116*'Резиденты — уровни'!$C$20+J116*'Резиденты — уровни'!$C$21+K116*'Резиденты — уровни'!$C$22+L116*'Резиденты — уровни'!$C$23+M116*'Резиденты — уровни'!$C$24)/SUM('Резиденты — уровни'!$C$19:$C$24),2))</f>
        <v/>
      </c>
      <c r="O116" s="39" t="str">
        <f aca="false">IF(N116="","",IF(N116&gt;='Резиденты — уровни'!$C$27,"A",IF(N116&gt;='Резиденты — уровни'!$C$28,"B","C")))</f>
        <v/>
      </c>
      <c r="P116" s="38"/>
      <c r="Q116" s="29" t="str">
        <f aca="false">IF(P116&lt;&gt;"",P116,O116)</f>
        <v/>
      </c>
      <c r="R116" s="38"/>
      <c r="S116" s="38"/>
      <c r="T116" s="38"/>
      <c r="U116" s="45" t="str">
        <f aca="false">IF(OR(F116="",D116=""),"",IF(G116=2,SUMIFS('Матрица 2027'!$J$6:$J$53,'Матрица 2027'!$B$6:$B$53,F116,'Матрица 2027'!$C$6:$C$53,D116),SUMIFS('Матрица 2027'!$I$6:$I$53,'Матрица 2027'!$B$6:$B$53,F116,'Матрица 2027'!$C$6:$C$53,D116)))</f>
        <v/>
      </c>
      <c r="V116" s="38"/>
    </row>
    <row r="117" customFormat="false" ht="15" hidden="false" customHeight="false" outlineLevel="0" collapsed="false">
      <c r="B117" s="24" t="str">
        <f aca="false">IF(C117="","",ROW()-4)</f>
        <v/>
      </c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40"/>
      <c r="N117" s="52" t="str">
        <f aca="false">IF(COUNT(H117:M117)&lt;6,"",ROUND((H117*'Резиденты — уровни'!$C$19+I117*'Резиденты — уровни'!$C$20+J117*'Резиденты — уровни'!$C$21+K117*'Резиденты — уровни'!$C$22+L117*'Резиденты — уровни'!$C$23+M117*'Резиденты — уровни'!$C$24)/SUM('Резиденты — уровни'!$C$19:$C$24),2))</f>
        <v/>
      </c>
      <c r="O117" s="39" t="str">
        <f aca="false">IF(N117="","",IF(N117&gt;='Резиденты — уровни'!$C$27,"A",IF(N117&gt;='Резиденты — уровни'!$C$28,"B","C")))</f>
        <v/>
      </c>
      <c r="P117" s="38"/>
      <c r="Q117" s="29" t="str">
        <f aca="false">IF(P117&lt;&gt;"",P117,O117)</f>
        <v/>
      </c>
      <c r="R117" s="38"/>
      <c r="S117" s="38"/>
      <c r="T117" s="38"/>
      <c r="U117" s="45" t="str">
        <f aca="false">IF(OR(F117="",D117=""),"",IF(G117=2,SUMIFS('Матрица 2027'!$J$6:$J$53,'Матрица 2027'!$B$6:$B$53,F117,'Матрица 2027'!$C$6:$C$53,D117),SUMIFS('Матрица 2027'!$I$6:$I$53,'Матрица 2027'!$B$6:$B$53,F117,'Матрица 2027'!$C$6:$C$53,D117)))</f>
        <v/>
      </c>
      <c r="V117" s="38"/>
    </row>
    <row r="118" customFormat="false" ht="15" hidden="false" customHeight="false" outlineLevel="0" collapsed="false">
      <c r="B118" s="24" t="str">
        <f aca="false">IF(C118="","",ROW()-4)</f>
        <v/>
      </c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40"/>
      <c r="N118" s="52" t="str">
        <f aca="false">IF(COUNT(H118:M118)&lt;6,"",ROUND((H118*'Резиденты — уровни'!$C$19+I118*'Резиденты — уровни'!$C$20+J118*'Резиденты — уровни'!$C$21+K118*'Резиденты — уровни'!$C$22+L118*'Резиденты — уровни'!$C$23+M118*'Резиденты — уровни'!$C$24)/SUM('Резиденты — уровни'!$C$19:$C$24),2))</f>
        <v/>
      </c>
      <c r="O118" s="39" t="str">
        <f aca="false">IF(N118="","",IF(N118&gt;='Резиденты — уровни'!$C$27,"A",IF(N118&gt;='Резиденты — уровни'!$C$28,"B","C")))</f>
        <v/>
      </c>
      <c r="P118" s="38"/>
      <c r="Q118" s="29" t="str">
        <f aca="false">IF(P118&lt;&gt;"",P118,O118)</f>
        <v/>
      </c>
      <c r="R118" s="38"/>
      <c r="S118" s="38"/>
      <c r="T118" s="38"/>
      <c r="U118" s="45" t="str">
        <f aca="false">IF(OR(F118="",D118=""),"",IF(G118=2,SUMIFS('Матрица 2027'!$J$6:$J$53,'Матрица 2027'!$B$6:$B$53,F118,'Матрица 2027'!$C$6:$C$53,D118),SUMIFS('Матрица 2027'!$I$6:$I$53,'Матрица 2027'!$B$6:$B$53,F118,'Матрица 2027'!$C$6:$C$53,D118)))</f>
        <v/>
      </c>
      <c r="V118" s="38"/>
    </row>
    <row r="119" customFormat="false" ht="15" hidden="false" customHeight="false" outlineLevel="0" collapsed="false">
      <c r="B119" s="24" t="str">
        <f aca="false">IF(C119="","",ROW()-4)</f>
        <v/>
      </c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40"/>
      <c r="N119" s="52" t="str">
        <f aca="false">IF(COUNT(H119:M119)&lt;6,"",ROUND((H119*'Резиденты — уровни'!$C$19+I119*'Резиденты — уровни'!$C$20+J119*'Резиденты — уровни'!$C$21+K119*'Резиденты — уровни'!$C$22+L119*'Резиденты — уровни'!$C$23+M119*'Резиденты — уровни'!$C$24)/SUM('Резиденты — уровни'!$C$19:$C$24),2))</f>
        <v/>
      </c>
      <c r="O119" s="39" t="str">
        <f aca="false">IF(N119="","",IF(N119&gt;='Резиденты — уровни'!$C$27,"A",IF(N119&gt;='Резиденты — уровни'!$C$28,"B","C")))</f>
        <v/>
      </c>
      <c r="P119" s="38"/>
      <c r="Q119" s="29" t="str">
        <f aca="false">IF(P119&lt;&gt;"",P119,O119)</f>
        <v/>
      </c>
      <c r="R119" s="38"/>
      <c r="S119" s="38"/>
      <c r="T119" s="38"/>
      <c r="U119" s="45" t="str">
        <f aca="false">IF(OR(F119="",D119=""),"",IF(G119=2,SUMIFS('Матрица 2027'!$J$6:$J$53,'Матрица 2027'!$B$6:$B$53,F119,'Матрица 2027'!$C$6:$C$53,D119),SUMIFS('Матрица 2027'!$I$6:$I$53,'Матрица 2027'!$B$6:$B$53,F119,'Матрица 2027'!$C$6:$C$53,D119)))</f>
        <v/>
      </c>
      <c r="V119" s="38"/>
    </row>
    <row r="120" customFormat="false" ht="15" hidden="false" customHeight="false" outlineLevel="0" collapsed="false">
      <c r="B120" s="24" t="str">
        <f aca="false">IF(C120="","",ROW()-4)</f>
        <v/>
      </c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40"/>
      <c r="N120" s="52" t="str">
        <f aca="false">IF(COUNT(H120:M120)&lt;6,"",ROUND((H120*'Резиденты — уровни'!$C$19+I120*'Резиденты — уровни'!$C$20+J120*'Резиденты — уровни'!$C$21+K120*'Резиденты — уровни'!$C$22+L120*'Резиденты — уровни'!$C$23+M120*'Резиденты — уровни'!$C$24)/SUM('Резиденты — уровни'!$C$19:$C$24),2))</f>
        <v/>
      </c>
      <c r="O120" s="39" t="str">
        <f aca="false">IF(N120="","",IF(N120&gt;='Резиденты — уровни'!$C$27,"A",IF(N120&gt;='Резиденты — уровни'!$C$28,"B","C")))</f>
        <v/>
      </c>
      <c r="P120" s="38"/>
      <c r="Q120" s="29" t="str">
        <f aca="false">IF(P120&lt;&gt;"",P120,O120)</f>
        <v/>
      </c>
      <c r="R120" s="38"/>
      <c r="S120" s="38"/>
      <c r="T120" s="38"/>
      <c r="U120" s="45" t="str">
        <f aca="false">IF(OR(F120="",D120=""),"",IF(G120=2,SUMIFS('Матрица 2027'!$J$6:$J$53,'Матрица 2027'!$B$6:$B$53,F120,'Матрица 2027'!$C$6:$C$53,D120),SUMIFS('Матрица 2027'!$I$6:$I$53,'Матрица 2027'!$B$6:$B$53,F120,'Матрица 2027'!$C$6:$C$53,D120)))</f>
        <v/>
      </c>
      <c r="V120" s="38"/>
    </row>
    <row r="121" customFormat="false" ht="15" hidden="false" customHeight="false" outlineLevel="0" collapsed="false">
      <c r="B121" s="24" t="str">
        <f aca="false">IF(C121="","",ROW()-4)</f>
        <v/>
      </c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40"/>
      <c r="N121" s="52" t="str">
        <f aca="false">IF(COUNT(H121:M121)&lt;6,"",ROUND((H121*'Резиденты — уровни'!$C$19+I121*'Резиденты — уровни'!$C$20+J121*'Резиденты — уровни'!$C$21+K121*'Резиденты — уровни'!$C$22+L121*'Резиденты — уровни'!$C$23+M121*'Резиденты — уровни'!$C$24)/SUM('Резиденты — уровни'!$C$19:$C$24),2))</f>
        <v/>
      </c>
      <c r="O121" s="39" t="str">
        <f aca="false">IF(N121="","",IF(N121&gt;='Резиденты — уровни'!$C$27,"A",IF(N121&gt;='Резиденты — уровни'!$C$28,"B","C")))</f>
        <v/>
      </c>
      <c r="P121" s="38"/>
      <c r="Q121" s="29" t="str">
        <f aca="false">IF(P121&lt;&gt;"",P121,O121)</f>
        <v/>
      </c>
      <c r="R121" s="38"/>
      <c r="S121" s="38"/>
      <c r="T121" s="38"/>
      <c r="U121" s="45" t="str">
        <f aca="false">IF(OR(F121="",D121=""),"",IF(G121=2,SUMIFS('Матрица 2027'!$J$6:$J$53,'Матрица 2027'!$B$6:$B$53,F121,'Матрица 2027'!$C$6:$C$53,D121),SUMIFS('Матрица 2027'!$I$6:$I$53,'Матрица 2027'!$B$6:$B$53,F121,'Матрица 2027'!$C$6:$C$53,D121)))</f>
        <v/>
      </c>
      <c r="V121" s="38"/>
    </row>
    <row r="122" customFormat="false" ht="15" hidden="false" customHeight="false" outlineLevel="0" collapsed="false">
      <c r="B122" s="24" t="str">
        <f aca="false">IF(C122="","",ROW()-4)</f>
        <v/>
      </c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40"/>
      <c r="N122" s="52" t="str">
        <f aca="false">IF(COUNT(H122:M122)&lt;6,"",ROUND((H122*'Резиденты — уровни'!$C$19+I122*'Резиденты — уровни'!$C$20+J122*'Резиденты — уровни'!$C$21+K122*'Резиденты — уровни'!$C$22+L122*'Резиденты — уровни'!$C$23+M122*'Резиденты — уровни'!$C$24)/SUM('Резиденты — уровни'!$C$19:$C$24),2))</f>
        <v/>
      </c>
      <c r="O122" s="39" t="str">
        <f aca="false">IF(N122="","",IF(N122&gt;='Резиденты — уровни'!$C$27,"A",IF(N122&gt;='Резиденты — уровни'!$C$28,"B","C")))</f>
        <v/>
      </c>
      <c r="P122" s="38"/>
      <c r="Q122" s="29" t="str">
        <f aca="false">IF(P122&lt;&gt;"",P122,O122)</f>
        <v/>
      </c>
      <c r="R122" s="38"/>
      <c r="S122" s="38"/>
      <c r="T122" s="38"/>
      <c r="U122" s="45" t="str">
        <f aca="false">IF(OR(F122="",D122=""),"",IF(G122=2,SUMIFS('Матрица 2027'!$J$6:$J$53,'Матрица 2027'!$B$6:$B$53,F122,'Матрица 2027'!$C$6:$C$53,D122),SUMIFS('Матрица 2027'!$I$6:$I$53,'Матрица 2027'!$B$6:$B$53,F122,'Матрица 2027'!$C$6:$C$53,D122)))</f>
        <v/>
      </c>
      <c r="V122" s="38"/>
    </row>
    <row r="123" customFormat="false" ht="15" hidden="false" customHeight="false" outlineLevel="0" collapsed="false">
      <c r="B123" s="24" t="str">
        <f aca="false">IF(C123="","",ROW()-4)</f>
        <v/>
      </c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40"/>
      <c r="N123" s="52" t="str">
        <f aca="false">IF(COUNT(H123:M123)&lt;6,"",ROUND((H123*'Резиденты — уровни'!$C$19+I123*'Резиденты — уровни'!$C$20+J123*'Резиденты — уровни'!$C$21+K123*'Резиденты — уровни'!$C$22+L123*'Резиденты — уровни'!$C$23+M123*'Резиденты — уровни'!$C$24)/SUM('Резиденты — уровни'!$C$19:$C$24),2))</f>
        <v/>
      </c>
      <c r="O123" s="39" t="str">
        <f aca="false">IF(N123="","",IF(N123&gt;='Резиденты — уровни'!$C$27,"A",IF(N123&gt;='Резиденты — уровни'!$C$28,"B","C")))</f>
        <v/>
      </c>
      <c r="P123" s="38"/>
      <c r="Q123" s="29" t="str">
        <f aca="false">IF(P123&lt;&gt;"",P123,O123)</f>
        <v/>
      </c>
      <c r="R123" s="38"/>
      <c r="S123" s="38"/>
      <c r="T123" s="38"/>
      <c r="U123" s="45" t="str">
        <f aca="false">IF(OR(F123="",D123=""),"",IF(G123=2,SUMIFS('Матрица 2027'!$J$6:$J$53,'Матрица 2027'!$B$6:$B$53,F123,'Матрица 2027'!$C$6:$C$53,D123),SUMIFS('Матрица 2027'!$I$6:$I$53,'Матрица 2027'!$B$6:$B$53,F123,'Матрица 2027'!$C$6:$C$53,D123)))</f>
        <v/>
      </c>
      <c r="V123" s="38"/>
    </row>
    <row r="124" customFormat="false" ht="15" hidden="false" customHeight="false" outlineLevel="0" collapsed="false">
      <c r="B124" s="24" t="str">
        <f aca="false">IF(C124="","",ROW()-4)</f>
        <v/>
      </c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40"/>
      <c r="N124" s="52" t="str">
        <f aca="false">IF(COUNT(H124:M124)&lt;6,"",ROUND((H124*'Резиденты — уровни'!$C$19+I124*'Резиденты — уровни'!$C$20+J124*'Резиденты — уровни'!$C$21+K124*'Резиденты — уровни'!$C$22+L124*'Резиденты — уровни'!$C$23+M124*'Резиденты — уровни'!$C$24)/SUM('Резиденты — уровни'!$C$19:$C$24),2))</f>
        <v/>
      </c>
      <c r="O124" s="39" t="str">
        <f aca="false">IF(N124="","",IF(N124&gt;='Резиденты — уровни'!$C$27,"A",IF(N124&gt;='Резиденты — уровни'!$C$28,"B","C")))</f>
        <v/>
      </c>
      <c r="P124" s="38"/>
      <c r="Q124" s="29" t="str">
        <f aca="false">IF(P124&lt;&gt;"",P124,O124)</f>
        <v/>
      </c>
      <c r="R124" s="38"/>
      <c r="S124" s="38"/>
      <c r="T124" s="38"/>
      <c r="U124" s="45" t="str">
        <f aca="false">IF(OR(F124="",D124=""),"",IF(G124=2,SUMIFS('Матрица 2027'!$J$6:$J$53,'Матрица 2027'!$B$6:$B$53,F124,'Матрица 2027'!$C$6:$C$53,D124),SUMIFS('Матрица 2027'!$I$6:$I$53,'Матрица 2027'!$B$6:$B$53,F124,'Матрица 2027'!$C$6:$C$53,D124)))</f>
        <v/>
      </c>
      <c r="V124" s="38"/>
    </row>
    <row r="125" customFormat="false" ht="15" hidden="false" customHeight="false" outlineLevel="0" collapsed="false">
      <c r="B125" s="24" t="str">
        <f aca="false">IF(C125="","",ROW()-4)</f>
        <v/>
      </c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40"/>
      <c r="N125" s="52" t="str">
        <f aca="false">IF(COUNT(H125:M125)&lt;6,"",ROUND((H125*'Резиденты — уровни'!$C$19+I125*'Резиденты — уровни'!$C$20+J125*'Резиденты — уровни'!$C$21+K125*'Резиденты — уровни'!$C$22+L125*'Резиденты — уровни'!$C$23+M125*'Резиденты — уровни'!$C$24)/SUM('Резиденты — уровни'!$C$19:$C$24),2))</f>
        <v/>
      </c>
      <c r="O125" s="39" t="str">
        <f aca="false">IF(N125="","",IF(N125&gt;='Резиденты — уровни'!$C$27,"A",IF(N125&gt;='Резиденты — уровни'!$C$28,"B","C")))</f>
        <v/>
      </c>
      <c r="P125" s="38"/>
      <c r="Q125" s="29" t="str">
        <f aca="false">IF(P125&lt;&gt;"",P125,O125)</f>
        <v/>
      </c>
      <c r="R125" s="38"/>
      <c r="S125" s="38"/>
      <c r="T125" s="38"/>
      <c r="U125" s="45" t="str">
        <f aca="false">IF(OR(F125="",D125=""),"",IF(G125=2,SUMIFS('Матрица 2027'!$J$6:$J$53,'Матрица 2027'!$B$6:$B$53,F125,'Матрица 2027'!$C$6:$C$53,D125),SUMIFS('Матрица 2027'!$I$6:$I$53,'Матрица 2027'!$B$6:$B$53,F125,'Матрица 2027'!$C$6:$C$53,D125)))</f>
        <v/>
      </c>
      <c r="V125" s="38"/>
    </row>
    <row r="126" customFormat="false" ht="15" hidden="false" customHeight="false" outlineLevel="0" collapsed="false">
      <c r="B126" s="24" t="str">
        <f aca="false">IF(C126="","",ROW()-4)</f>
        <v/>
      </c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40"/>
      <c r="N126" s="52" t="str">
        <f aca="false">IF(COUNT(H126:M126)&lt;6,"",ROUND((H126*'Резиденты — уровни'!$C$19+I126*'Резиденты — уровни'!$C$20+J126*'Резиденты — уровни'!$C$21+K126*'Резиденты — уровни'!$C$22+L126*'Резиденты — уровни'!$C$23+M126*'Резиденты — уровни'!$C$24)/SUM('Резиденты — уровни'!$C$19:$C$24),2))</f>
        <v/>
      </c>
      <c r="O126" s="39" t="str">
        <f aca="false">IF(N126="","",IF(N126&gt;='Резиденты — уровни'!$C$27,"A",IF(N126&gt;='Резиденты — уровни'!$C$28,"B","C")))</f>
        <v/>
      </c>
      <c r="P126" s="38"/>
      <c r="Q126" s="29" t="str">
        <f aca="false">IF(P126&lt;&gt;"",P126,O126)</f>
        <v/>
      </c>
      <c r="R126" s="38"/>
      <c r="S126" s="38"/>
      <c r="T126" s="38"/>
      <c r="U126" s="45" t="str">
        <f aca="false">IF(OR(F126="",D126=""),"",IF(G126=2,SUMIFS('Матрица 2027'!$J$6:$J$53,'Матрица 2027'!$B$6:$B$53,F126,'Матрица 2027'!$C$6:$C$53,D126),SUMIFS('Матрица 2027'!$I$6:$I$53,'Матрица 2027'!$B$6:$B$53,F126,'Матрица 2027'!$C$6:$C$53,D126)))</f>
        <v/>
      </c>
      <c r="V126" s="38"/>
    </row>
    <row r="127" customFormat="false" ht="15" hidden="false" customHeight="false" outlineLevel="0" collapsed="false">
      <c r="B127" s="24" t="str">
        <f aca="false">IF(C127="","",ROW()-4)</f>
        <v/>
      </c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40"/>
      <c r="N127" s="52" t="str">
        <f aca="false">IF(COUNT(H127:M127)&lt;6,"",ROUND((H127*'Резиденты — уровни'!$C$19+I127*'Резиденты — уровни'!$C$20+J127*'Резиденты — уровни'!$C$21+K127*'Резиденты — уровни'!$C$22+L127*'Резиденты — уровни'!$C$23+M127*'Резиденты — уровни'!$C$24)/SUM('Резиденты — уровни'!$C$19:$C$24),2))</f>
        <v/>
      </c>
      <c r="O127" s="39" t="str">
        <f aca="false">IF(N127="","",IF(N127&gt;='Резиденты — уровни'!$C$27,"A",IF(N127&gt;='Резиденты — уровни'!$C$28,"B","C")))</f>
        <v/>
      </c>
      <c r="P127" s="38"/>
      <c r="Q127" s="29" t="str">
        <f aca="false">IF(P127&lt;&gt;"",P127,O127)</f>
        <v/>
      </c>
      <c r="R127" s="38"/>
      <c r="S127" s="38"/>
      <c r="T127" s="38"/>
      <c r="U127" s="45" t="str">
        <f aca="false">IF(OR(F127="",D127=""),"",IF(G127=2,SUMIFS('Матрица 2027'!$J$6:$J$53,'Матрица 2027'!$B$6:$B$53,F127,'Матрица 2027'!$C$6:$C$53,D127),SUMIFS('Матрица 2027'!$I$6:$I$53,'Матрица 2027'!$B$6:$B$53,F127,'Матрица 2027'!$C$6:$C$53,D127)))</f>
        <v/>
      </c>
      <c r="V127" s="38"/>
    </row>
    <row r="128" customFormat="false" ht="15" hidden="false" customHeight="false" outlineLevel="0" collapsed="false">
      <c r="B128" s="24" t="str">
        <f aca="false">IF(C128="","",ROW()-4)</f>
        <v/>
      </c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40"/>
      <c r="N128" s="52" t="str">
        <f aca="false">IF(COUNT(H128:M128)&lt;6,"",ROUND((H128*'Резиденты — уровни'!$C$19+I128*'Резиденты — уровни'!$C$20+J128*'Резиденты — уровни'!$C$21+K128*'Резиденты — уровни'!$C$22+L128*'Резиденты — уровни'!$C$23+M128*'Резиденты — уровни'!$C$24)/SUM('Резиденты — уровни'!$C$19:$C$24),2))</f>
        <v/>
      </c>
      <c r="O128" s="39" t="str">
        <f aca="false">IF(N128="","",IF(N128&gt;='Резиденты — уровни'!$C$27,"A",IF(N128&gt;='Резиденты — уровни'!$C$28,"B","C")))</f>
        <v/>
      </c>
      <c r="P128" s="38"/>
      <c r="Q128" s="29" t="str">
        <f aca="false">IF(P128&lt;&gt;"",P128,O128)</f>
        <v/>
      </c>
      <c r="R128" s="38"/>
      <c r="S128" s="38"/>
      <c r="T128" s="38"/>
      <c r="U128" s="45" t="str">
        <f aca="false">IF(OR(F128="",D128=""),"",IF(G128=2,SUMIFS('Матрица 2027'!$J$6:$J$53,'Матрица 2027'!$B$6:$B$53,F128,'Матрица 2027'!$C$6:$C$53,D128),SUMIFS('Матрица 2027'!$I$6:$I$53,'Матрица 2027'!$B$6:$B$53,F128,'Матрица 2027'!$C$6:$C$53,D128)))</f>
        <v/>
      </c>
      <c r="V128" s="38"/>
    </row>
    <row r="129" customFormat="false" ht="15" hidden="false" customHeight="false" outlineLevel="0" collapsed="false">
      <c r="B129" s="24" t="str">
        <f aca="false">IF(C129="","",ROW()-4)</f>
        <v/>
      </c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40"/>
      <c r="N129" s="52" t="str">
        <f aca="false">IF(COUNT(H129:M129)&lt;6,"",ROUND((H129*'Резиденты — уровни'!$C$19+I129*'Резиденты — уровни'!$C$20+J129*'Резиденты — уровни'!$C$21+K129*'Резиденты — уровни'!$C$22+L129*'Резиденты — уровни'!$C$23+M129*'Резиденты — уровни'!$C$24)/SUM('Резиденты — уровни'!$C$19:$C$24),2))</f>
        <v/>
      </c>
      <c r="O129" s="39" t="str">
        <f aca="false">IF(N129="","",IF(N129&gt;='Резиденты — уровни'!$C$27,"A",IF(N129&gt;='Резиденты — уровни'!$C$28,"B","C")))</f>
        <v/>
      </c>
      <c r="P129" s="38"/>
      <c r="Q129" s="29" t="str">
        <f aca="false">IF(P129&lt;&gt;"",P129,O129)</f>
        <v/>
      </c>
      <c r="R129" s="38"/>
      <c r="S129" s="38"/>
      <c r="T129" s="38"/>
      <c r="U129" s="45" t="str">
        <f aca="false">IF(OR(F129="",D129=""),"",IF(G129=2,SUMIFS('Матрица 2027'!$J$6:$J$53,'Матрица 2027'!$B$6:$B$53,F129,'Матрица 2027'!$C$6:$C$53,D129),SUMIFS('Матрица 2027'!$I$6:$I$53,'Матрица 2027'!$B$6:$B$53,F129,'Матрица 2027'!$C$6:$C$53,D129)))</f>
        <v/>
      </c>
      <c r="V129" s="38"/>
    </row>
    <row r="130" customFormat="false" ht="15" hidden="false" customHeight="false" outlineLevel="0" collapsed="false">
      <c r="B130" s="24" t="str">
        <f aca="false">IF(C130="","",ROW()-4)</f>
        <v/>
      </c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40"/>
      <c r="N130" s="52" t="str">
        <f aca="false">IF(COUNT(H130:M130)&lt;6,"",ROUND((H130*'Резиденты — уровни'!$C$19+I130*'Резиденты — уровни'!$C$20+J130*'Резиденты — уровни'!$C$21+K130*'Резиденты — уровни'!$C$22+L130*'Резиденты — уровни'!$C$23+M130*'Резиденты — уровни'!$C$24)/SUM('Резиденты — уровни'!$C$19:$C$24),2))</f>
        <v/>
      </c>
      <c r="O130" s="39" t="str">
        <f aca="false">IF(N130="","",IF(N130&gt;='Резиденты — уровни'!$C$27,"A",IF(N130&gt;='Резиденты — уровни'!$C$28,"B","C")))</f>
        <v/>
      </c>
      <c r="P130" s="38"/>
      <c r="Q130" s="29" t="str">
        <f aca="false">IF(P130&lt;&gt;"",P130,O130)</f>
        <v/>
      </c>
      <c r="R130" s="38"/>
      <c r="S130" s="38"/>
      <c r="T130" s="38"/>
      <c r="U130" s="45" t="str">
        <f aca="false">IF(OR(F130="",D130=""),"",IF(G130=2,SUMIFS('Матрица 2027'!$J$6:$J$53,'Матрица 2027'!$B$6:$B$53,F130,'Матрица 2027'!$C$6:$C$53,D130),SUMIFS('Матрица 2027'!$I$6:$I$53,'Матрица 2027'!$B$6:$B$53,F130,'Матрица 2027'!$C$6:$C$53,D130)))</f>
        <v/>
      </c>
      <c r="V130" s="38"/>
    </row>
    <row r="131" customFormat="false" ht="15" hidden="false" customHeight="false" outlineLevel="0" collapsed="false">
      <c r="B131" s="24" t="str">
        <f aca="false">IF(C131="","",ROW()-4)</f>
        <v/>
      </c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40"/>
      <c r="N131" s="52" t="str">
        <f aca="false">IF(COUNT(H131:M131)&lt;6,"",ROUND((H131*'Резиденты — уровни'!$C$19+I131*'Резиденты — уровни'!$C$20+J131*'Резиденты — уровни'!$C$21+K131*'Резиденты — уровни'!$C$22+L131*'Резиденты — уровни'!$C$23+M131*'Резиденты — уровни'!$C$24)/SUM('Резиденты — уровни'!$C$19:$C$24),2))</f>
        <v/>
      </c>
      <c r="O131" s="39" t="str">
        <f aca="false">IF(N131="","",IF(N131&gt;='Резиденты — уровни'!$C$27,"A",IF(N131&gt;='Резиденты — уровни'!$C$28,"B","C")))</f>
        <v/>
      </c>
      <c r="P131" s="38"/>
      <c r="Q131" s="29" t="str">
        <f aca="false">IF(P131&lt;&gt;"",P131,O131)</f>
        <v/>
      </c>
      <c r="R131" s="38"/>
      <c r="S131" s="38"/>
      <c r="T131" s="38"/>
      <c r="U131" s="45" t="str">
        <f aca="false">IF(OR(F131="",D131=""),"",IF(G131=2,SUMIFS('Матрица 2027'!$J$6:$J$53,'Матрица 2027'!$B$6:$B$53,F131,'Матрица 2027'!$C$6:$C$53,D131),SUMIFS('Матрица 2027'!$I$6:$I$53,'Матрица 2027'!$B$6:$B$53,F131,'Матрица 2027'!$C$6:$C$53,D131)))</f>
        <v/>
      </c>
      <c r="V131" s="38"/>
    </row>
    <row r="132" customFormat="false" ht="15" hidden="false" customHeight="false" outlineLevel="0" collapsed="false">
      <c r="B132" s="24" t="str">
        <f aca="false">IF(C132="","",ROW()-4)</f>
        <v/>
      </c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40"/>
      <c r="N132" s="52" t="str">
        <f aca="false">IF(COUNT(H132:M132)&lt;6,"",ROUND((H132*'Резиденты — уровни'!$C$19+I132*'Резиденты — уровни'!$C$20+J132*'Резиденты — уровни'!$C$21+K132*'Резиденты — уровни'!$C$22+L132*'Резиденты — уровни'!$C$23+M132*'Резиденты — уровни'!$C$24)/SUM('Резиденты — уровни'!$C$19:$C$24),2))</f>
        <v/>
      </c>
      <c r="O132" s="39" t="str">
        <f aca="false">IF(N132="","",IF(N132&gt;='Резиденты — уровни'!$C$27,"A",IF(N132&gt;='Резиденты — уровни'!$C$28,"B","C")))</f>
        <v/>
      </c>
      <c r="P132" s="38"/>
      <c r="Q132" s="29" t="str">
        <f aca="false">IF(P132&lt;&gt;"",P132,O132)</f>
        <v/>
      </c>
      <c r="R132" s="38"/>
      <c r="S132" s="38"/>
      <c r="T132" s="38"/>
      <c r="U132" s="45" t="str">
        <f aca="false">IF(OR(F132="",D132=""),"",IF(G132=2,SUMIFS('Матрица 2027'!$J$6:$J$53,'Матрица 2027'!$B$6:$B$53,F132,'Матрица 2027'!$C$6:$C$53,D132),SUMIFS('Матрица 2027'!$I$6:$I$53,'Матрица 2027'!$B$6:$B$53,F132,'Матрица 2027'!$C$6:$C$53,D132)))</f>
        <v/>
      </c>
      <c r="V132" s="38"/>
    </row>
    <row r="133" customFormat="false" ht="15" hidden="false" customHeight="false" outlineLevel="0" collapsed="false">
      <c r="B133" s="24" t="str">
        <f aca="false">IF(C133="","",ROW()-4)</f>
        <v/>
      </c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40"/>
      <c r="N133" s="52" t="str">
        <f aca="false">IF(COUNT(H133:M133)&lt;6,"",ROUND((H133*'Резиденты — уровни'!$C$19+I133*'Резиденты — уровни'!$C$20+J133*'Резиденты — уровни'!$C$21+K133*'Резиденты — уровни'!$C$22+L133*'Резиденты — уровни'!$C$23+M133*'Резиденты — уровни'!$C$24)/SUM('Резиденты — уровни'!$C$19:$C$24),2))</f>
        <v/>
      </c>
      <c r="O133" s="39" t="str">
        <f aca="false">IF(N133="","",IF(N133&gt;='Резиденты — уровни'!$C$27,"A",IF(N133&gt;='Резиденты — уровни'!$C$28,"B","C")))</f>
        <v/>
      </c>
      <c r="P133" s="38"/>
      <c r="Q133" s="29" t="str">
        <f aca="false">IF(P133&lt;&gt;"",P133,O133)</f>
        <v/>
      </c>
      <c r="R133" s="38"/>
      <c r="S133" s="38"/>
      <c r="T133" s="38"/>
      <c r="U133" s="45" t="str">
        <f aca="false">IF(OR(F133="",D133=""),"",IF(G133=2,SUMIFS('Матрица 2027'!$J$6:$J$53,'Матрица 2027'!$B$6:$B$53,F133,'Матрица 2027'!$C$6:$C$53,D133),SUMIFS('Матрица 2027'!$I$6:$I$53,'Матрица 2027'!$B$6:$B$53,F133,'Матрица 2027'!$C$6:$C$53,D133)))</f>
        <v/>
      </c>
      <c r="V133" s="38"/>
    </row>
    <row r="134" customFormat="false" ht="15" hidden="false" customHeight="false" outlineLevel="0" collapsed="false">
      <c r="B134" s="24" t="str">
        <f aca="false">IF(C134="","",ROW()-4)</f>
        <v/>
      </c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40"/>
      <c r="N134" s="52" t="str">
        <f aca="false">IF(COUNT(H134:M134)&lt;6,"",ROUND((H134*'Резиденты — уровни'!$C$19+I134*'Резиденты — уровни'!$C$20+J134*'Резиденты — уровни'!$C$21+K134*'Резиденты — уровни'!$C$22+L134*'Резиденты — уровни'!$C$23+M134*'Резиденты — уровни'!$C$24)/SUM('Резиденты — уровни'!$C$19:$C$24),2))</f>
        <v/>
      </c>
      <c r="O134" s="39" t="str">
        <f aca="false">IF(N134="","",IF(N134&gt;='Резиденты — уровни'!$C$27,"A",IF(N134&gt;='Резиденты — уровни'!$C$28,"B","C")))</f>
        <v/>
      </c>
      <c r="P134" s="38"/>
      <c r="Q134" s="29" t="str">
        <f aca="false">IF(P134&lt;&gt;"",P134,O134)</f>
        <v/>
      </c>
      <c r="R134" s="38"/>
      <c r="S134" s="38"/>
      <c r="T134" s="38"/>
      <c r="U134" s="45" t="str">
        <f aca="false">IF(OR(F134="",D134=""),"",IF(G134=2,SUMIFS('Матрица 2027'!$J$6:$J$53,'Матрица 2027'!$B$6:$B$53,F134,'Матрица 2027'!$C$6:$C$53,D134),SUMIFS('Матрица 2027'!$I$6:$I$53,'Матрица 2027'!$B$6:$B$53,F134,'Матрица 2027'!$C$6:$C$53,D134)))</f>
        <v/>
      </c>
      <c r="V134" s="38"/>
    </row>
    <row r="135" customFormat="false" ht="15" hidden="false" customHeight="false" outlineLevel="0" collapsed="false">
      <c r="B135" s="24" t="str">
        <f aca="false">IF(C135="","",ROW()-4)</f>
        <v/>
      </c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40"/>
      <c r="N135" s="52" t="str">
        <f aca="false">IF(COUNT(H135:M135)&lt;6,"",ROUND((H135*'Резиденты — уровни'!$C$19+I135*'Резиденты — уровни'!$C$20+J135*'Резиденты — уровни'!$C$21+K135*'Резиденты — уровни'!$C$22+L135*'Резиденты — уровни'!$C$23+M135*'Резиденты — уровни'!$C$24)/SUM('Резиденты — уровни'!$C$19:$C$24),2))</f>
        <v/>
      </c>
      <c r="O135" s="39" t="str">
        <f aca="false">IF(N135="","",IF(N135&gt;='Резиденты — уровни'!$C$27,"A",IF(N135&gt;='Резиденты — уровни'!$C$28,"B","C")))</f>
        <v/>
      </c>
      <c r="P135" s="38"/>
      <c r="Q135" s="29" t="str">
        <f aca="false">IF(P135&lt;&gt;"",P135,O135)</f>
        <v/>
      </c>
      <c r="R135" s="38"/>
      <c r="S135" s="38"/>
      <c r="T135" s="38"/>
      <c r="U135" s="45" t="str">
        <f aca="false">IF(OR(F135="",D135=""),"",IF(G135=2,SUMIFS('Матрица 2027'!$J$6:$J$53,'Матрица 2027'!$B$6:$B$53,F135,'Матрица 2027'!$C$6:$C$53,D135),SUMIFS('Матрица 2027'!$I$6:$I$53,'Матрица 2027'!$B$6:$B$53,F135,'Матрица 2027'!$C$6:$C$53,D135)))</f>
        <v/>
      </c>
      <c r="V135" s="38"/>
    </row>
    <row r="136" customFormat="false" ht="15" hidden="false" customHeight="false" outlineLevel="0" collapsed="false">
      <c r="B136" s="24" t="str">
        <f aca="false">IF(C136="","",ROW()-4)</f>
        <v/>
      </c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40"/>
      <c r="N136" s="52" t="str">
        <f aca="false">IF(COUNT(H136:M136)&lt;6,"",ROUND((H136*'Резиденты — уровни'!$C$19+I136*'Резиденты — уровни'!$C$20+J136*'Резиденты — уровни'!$C$21+K136*'Резиденты — уровни'!$C$22+L136*'Резиденты — уровни'!$C$23+M136*'Резиденты — уровни'!$C$24)/SUM('Резиденты — уровни'!$C$19:$C$24),2))</f>
        <v/>
      </c>
      <c r="O136" s="39" t="str">
        <f aca="false">IF(N136="","",IF(N136&gt;='Резиденты — уровни'!$C$27,"A",IF(N136&gt;='Резиденты — уровни'!$C$28,"B","C")))</f>
        <v/>
      </c>
      <c r="P136" s="38"/>
      <c r="Q136" s="29" t="str">
        <f aca="false">IF(P136&lt;&gt;"",P136,O136)</f>
        <v/>
      </c>
      <c r="R136" s="38"/>
      <c r="S136" s="38"/>
      <c r="T136" s="38"/>
      <c r="U136" s="45" t="str">
        <f aca="false">IF(OR(F136="",D136=""),"",IF(G136=2,SUMIFS('Матрица 2027'!$J$6:$J$53,'Матрица 2027'!$B$6:$B$53,F136,'Матрица 2027'!$C$6:$C$53,D136),SUMIFS('Матрица 2027'!$I$6:$I$53,'Матрица 2027'!$B$6:$B$53,F136,'Матрица 2027'!$C$6:$C$53,D136)))</f>
        <v/>
      </c>
      <c r="V136" s="38"/>
    </row>
    <row r="137" customFormat="false" ht="15" hidden="false" customHeight="false" outlineLevel="0" collapsed="false">
      <c r="B137" s="24" t="str">
        <f aca="false">IF(C137="","",ROW()-4)</f>
        <v/>
      </c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40"/>
      <c r="N137" s="52" t="str">
        <f aca="false">IF(COUNT(H137:M137)&lt;6,"",ROUND((H137*'Резиденты — уровни'!$C$19+I137*'Резиденты — уровни'!$C$20+J137*'Резиденты — уровни'!$C$21+K137*'Резиденты — уровни'!$C$22+L137*'Резиденты — уровни'!$C$23+M137*'Резиденты — уровни'!$C$24)/SUM('Резиденты — уровни'!$C$19:$C$24),2))</f>
        <v/>
      </c>
      <c r="O137" s="39" t="str">
        <f aca="false">IF(N137="","",IF(N137&gt;='Резиденты — уровни'!$C$27,"A",IF(N137&gt;='Резиденты — уровни'!$C$28,"B","C")))</f>
        <v/>
      </c>
      <c r="P137" s="38"/>
      <c r="Q137" s="29" t="str">
        <f aca="false">IF(P137&lt;&gt;"",P137,O137)</f>
        <v/>
      </c>
      <c r="R137" s="38"/>
      <c r="S137" s="38"/>
      <c r="T137" s="38"/>
      <c r="U137" s="45" t="str">
        <f aca="false">IF(OR(F137="",D137=""),"",IF(G137=2,SUMIFS('Матрица 2027'!$J$6:$J$53,'Матрица 2027'!$B$6:$B$53,F137,'Матрица 2027'!$C$6:$C$53,D137),SUMIFS('Матрица 2027'!$I$6:$I$53,'Матрица 2027'!$B$6:$B$53,F137,'Матрица 2027'!$C$6:$C$53,D137)))</f>
        <v/>
      </c>
      <c r="V137" s="38"/>
    </row>
    <row r="138" customFormat="false" ht="15" hidden="false" customHeight="false" outlineLevel="0" collapsed="false">
      <c r="B138" s="24" t="str">
        <f aca="false">IF(C138="","",ROW()-4)</f>
        <v/>
      </c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40"/>
      <c r="N138" s="52" t="str">
        <f aca="false">IF(COUNT(H138:M138)&lt;6,"",ROUND((H138*'Резиденты — уровни'!$C$19+I138*'Резиденты — уровни'!$C$20+J138*'Резиденты — уровни'!$C$21+K138*'Резиденты — уровни'!$C$22+L138*'Резиденты — уровни'!$C$23+M138*'Резиденты — уровни'!$C$24)/SUM('Резиденты — уровни'!$C$19:$C$24),2))</f>
        <v/>
      </c>
      <c r="O138" s="39" t="str">
        <f aca="false">IF(N138="","",IF(N138&gt;='Резиденты — уровни'!$C$27,"A",IF(N138&gt;='Резиденты — уровни'!$C$28,"B","C")))</f>
        <v/>
      </c>
      <c r="P138" s="38"/>
      <c r="Q138" s="29" t="str">
        <f aca="false">IF(P138&lt;&gt;"",P138,O138)</f>
        <v/>
      </c>
      <c r="R138" s="38"/>
      <c r="S138" s="38"/>
      <c r="T138" s="38"/>
      <c r="U138" s="45" t="str">
        <f aca="false">IF(OR(F138="",D138=""),"",IF(G138=2,SUMIFS('Матрица 2027'!$J$6:$J$53,'Матрица 2027'!$B$6:$B$53,F138,'Матрица 2027'!$C$6:$C$53,D138),SUMIFS('Матрица 2027'!$I$6:$I$53,'Матрица 2027'!$B$6:$B$53,F138,'Матрица 2027'!$C$6:$C$53,D138)))</f>
        <v/>
      </c>
      <c r="V138" s="38"/>
    </row>
    <row r="139" customFormat="false" ht="15" hidden="false" customHeight="false" outlineLevel="0" collapsed="false">
      <c r="B139" s="24" t="str">
        <f aca="false">IF(C139="","",ROW()-4)</f>
        <v/>
      </c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40"/>
      <c r="N139" s="52" t="str">
        <f aca="false">IF(COUNT(H139:M139)&lt;6,"",ROUND((H139*'Резиденты — уровни'!$C$19+I139*'Резиденты — уровни'!$C$20+J139*'Резиденты — уровни'!$C$21+K139*'Резиденты — уровни'!$C$22+L139*'Резиденты — уровни'!$C$23+M139*'Резиденты — уровни'!$C$24)/SUM('Резиденты — уровни'!$C$19:$C$24),2))</f>
        <v/>
      </c>
      <c r="O139" s="39" t="str">
        <f aca="false">IF(N139="","",IF(N139&gt;='Резиденты — уровни'!$C$27,"A",IF(N139&gt;='Резиденты — уровни'!$C$28,"B","C")))</f>
        <v/>
      </c>
      <c r="P139" s="38"/>
      <c r="Q139" s="29" t="str">
        <f aca="false">IF(P139&lt;&gt;"",P139,O139)</f>
        <v/>
      </c>
      <c r="R139" s="38"/>
      <c r="S139" s="38"/>
      <c r="T139" s="38"/>
      <c r="U139" s="45" t="str">
        <f aca="false">IF(OR(F139="",D139=""),"",IF(G139=2,SUMIFS('Матрица 2027'!$J$6:$J$53,'Матрица 2027'!$B$6:$B$53,F139,'Матрица 2027'!$C$6:$C$53,D139),SUMIFS('Матрица 2027'!$I$6:$I$53,'Матрица 2027'!$B$6:$B$53,F139,'Матрица 2027'!$C$6:$C$53,D139)))</f>
        <v/>
      </c>
      <c r="V139" s="38"/>
    </row>
    <row r="140" customFormat="false" ht="15" hidden="false" customHeight="false" outlineLevel="0" collapsed="false">
      <c r="B140" s="24" t="str">
        <f aca="false">IF(C140="","",ROW()-4)</f>
        <v/>
      </c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40"/>
      <c r="N140" s="52" t="str">
        <f aca="false">IF(COUNT(H140:M140)&lt;6,"",ROUND((H140*'Резиденты — уровни'!$C$19+I140*'Резиденты — уровни'!$C$20+J140*'Резиденты — уровни'!$C$21+K140*'Резиденты — уровни'!$C$22+L140*'Резиденты — уровни'!$C$23+M140*'Резиденты — уровни'!$C$24)/SUM('Резиденты — уровни'!$C$19:$C$24),2))</f>
        <v/>
      </c>
      <c r="O140" s="39" t="str">
        <f aca="false">IF(N140="","",IF(N140&gt;='Резиденты — уровни'!$C$27,"A",IF(N140&gt;='Резиденты — уровни'!$C$28,"B","C")))</f>
        <v/>
      </c>
      <c r="P140" s="38"/>
      <c r="Q140" s="29" t="str">
        <f aca="false">IF(P140&lt;&gt;"",P140,O140)</f>
        <v/>
      </c>
      <c r="R140" s="38"/>
      <c r="S140" s="38"/>
      <c r="T140" s="38"/>
      <c r="U140" s="45" t="str">
        <f aca="false">IF(OR(F140="",D140=""),"",IF(G140=2,SUMIFS('Матрица 2027'!$J$6:$J$53,'Матрица 2027'!$B$6:$B$53,F140,'Матрица 2027'!$C$6:$C$53,D140),SUMIFS('Матрица 2027'!$I$6:$I$53,'Матрица 2027'!$B$6:$B$53,F140,'Матрица 2027'!$C$6:$C$53,D140)))</f>
        <v/>
      </c>
      <c r="V140" s="38"/>
    </row>
    <row r="141" customFormat="false" ht="15" hidden="false" customHeight="false" outlineLevel="0" collapsed="false">
      <c r="B141" s="24" t="str">
        <f aca="false">IF(C141="","",ROW()-4)</f>
        <v/>
      </c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40"/>
      <c r="N141" s="52" t="str">
        <f aca="false">IF(COUNT(H141:M141)&lt;6,"",ROUND((H141*'Резиденты — уровни'!$C$19+I141*'Резиденты — уровни'!$C$20+J141*'Резиденты — уровни'!$C$21+K141*'Резиденты — уровни'!$C$22+L141*'Резиденты — уровни'!$C$23+M141*'Резиденты — уровни'!$C$24)/SUM('Резиденты — уровни'!$C$19:$C$24),2))</f>
        <v/>
      </c>
      <c r="O141" s="39" t="str">
        <f aca="false">IF(N141="","",IF(N141&gt;='Резиденты — уровни'!$C$27,"A",IF(N141&gt;='Резиденты — уровни'!$C$28,"B","C")))</f>
        <v/>
      </c>
      <c r="P141" s="38"/>
      <c r="Q141" s="29" t="str">
        <f aca="false">IF(P141&lt;&gt;"",P141,O141)</f>
        <v/>
      </c>
      <c r="R141" s="38"/>
      <c r="S141" s="38"/>
      <c r="T141" s="38"/>
      <c r="U141" s="45" t="str">
        <f aca="false">IF(OR(F141="",D141=""),"",IF(G141=2,SUMIFS('Матрица 2027'!$J$6:$J$53,'Матрица 2027'!$B$6:$B$53,F141,'Матрица 2027'!$C$6:$C$53,D141),SUMIFS('Матрица 2027'!$I$6:$I$53,'Матрица 2027'!$B$6:$B$53,F141,'Матрица 2027'!$C$6:$C$53,D141)))</f>
        <v/>
      </c>
      <c r="V141" s="38"/>
    </row>
    <row r="142" customFormat="false" ht="15" hidden="false" customHeight="false" outlineLevel="0" collapsed="false">
      <c r="B142" s="24" t="str">
        <f aca="false">IF(C142="","",ROW()-4)</f>
        <v/>
      </c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40"/>
      <c r="N142" s="52" t="str">
        <f aca="false">IF(COUNT(H142:M142)&lt;6,"",ROUND((H142*'Резиденты — уровни'!$C$19+I142*'Резиденты — уровни'!$C$20+J142*'Резиденты — уровни'!$C$21+K142*'Резиденты — уровни'!$C$22+L142*'Резиденты — уровни'!$C$23+M142*'Резиденты — уровни'!$C$24)/SUM('Резиденты — уровни'!$C$19:$C$24),2))</f>
        <v/>
      </c>
      <c r="O142" s="39" t="str">
        <f aca="false">IF(N142="","",IF(N142&gt;='Резиденты — уровни'!$C$27,"A",IF(N142&gt;='Резиденты — уровни'!$C$28,"B","C")))</f>
        <v/>
      </c>
      <c r="P142" s="38"/>
      <c r="Q142" s="29" t="str">
        <f aca="false">IF(P142&lt;&gt;"",P142,O142)</f>
        <v/>
      </c>
      <c r="R142" s="38"/>
      <c r="S142" s="38"/>
      <c r="T142" s="38"/>
      <c r="U142" s="45" t="str">
        <f aca="false">IF(OR(F142="",D142=""),"",IF(G142=2,SUMIFS('Матрица 2027'!$J$6:$J$53,'Матрица 2027'!$B$6:$B$53,F142,'Матрица 2027'!$C$6:$C$53,D142),SUMIFS('Матрица 2027'!$I$6:$I$53,'Матрица 2027'!$B$6:$B$53,F142,'Матрица 2027'!$C$6:$C$53,D142)))</f>
        <v/>
      </c>
      <c r="V142" s="38"/>
    </row>
    <row r="143" customFormat="false" ht="15" hidden="false" customHeight="false" outlineLevel="0" collapsed="false">
      <c r="B143" s="24" t="str">
        <f aca="false">IF(C143="","",ROW()-4)</f>
        <v/>
      </c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40"/>
      <c r="N143" s="52" t="str">
        <f aca="false">IF(COUNT(H143:M143)&lt;6,"",ROUND((H143*'Резиденты — уровни'!$C$19+I143*'Резиденты — уровни'!$C$20+J143*'Резиденты — уровни'!$C$21+K143*'Резиденты — уровни'!$C$22+L143*'Резиденты — уровни'!$C$23+M143*'Резиденты — уровни'!$C$24)/SUM('Резиденты — уровни'!$C$19:$C$24),2))</f>
        <v/>
      </c>
      <c r="O143" s="39" t="str">
        <f aca="false">IF(N143="","",IF(N143&gt;='Резиденты — уровни'!$C$27,"A",IF(N143&gt;='Резиденты — уровни'!$C$28,"B","C")))</f>
        <v/>
      </c>
      <c r="P143" s="38"/>
      <c r="Q143" s="29" t="str">
        <f aca="false">IF(P143&lt;&gt;"",P143,O143)</f>
        <v/>
      </c>
      <c r="R143" s="38"/>
      <c r="S143" s="38"/>
      <c r="T143" s="38"/>
      <c r="U143" s="45" t="str">
        <f aca="false">IF(OR(F143="",D143=""),"",IF(G143=2,SUMIFS('Матрица 2027'!$J$6:$J$53,'Матрица 2027'!$B$6:$B$53,F143,'Матрица 2027'!$C$6:$C$53,D143),SUMIFS('Матрица 2027'!$I$6:$I$53,'Матрица 2027'!$B$6:$B$53,F143,'Матрица 2027'!$C$6:$C$53,D143)))</f>
        <v/>
      </c>
      <c r="V143" s="38"/>
    </row>
    <row r="144" customFormat="false" ht="15" hidden="false" customHeight="false" outlineLevel="0" collapsed="false">
      <c r="B144" s="24" t="str">
        <f aca="false">IF(C144="","",ROW()-4)</f>
        <v/>
      </c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40"/>
      <c r="N144" s="52" t="str">
        <f aca="false">IF(COUNT(H144:M144)&lt;6,"",ROUND((H144*'Резиденты — уровни'!$C$19+I144*'Резиденты — уровни'!$C$20+J144*'Резиденты — уровни'!$C$21+K144*'Резиденты — уровни'!$C$22+L144*'Резиденты — уровни'!$C$23+M144*'Резиденты — уровни'!$C$24)/SUM('Резиденты — уровни'!$C$19:$C$24),2))</f>
        <v/>
      </c>
      <c r="O144" s="39" t="str">
        <f aca="false">IF(N144="","",IF(N144&gt;='Резиденты — уровни'!$C$27,"A",IF(N144&gt;='Резиденты — уровни'!$C$28,"B","C")))</f>
        <v/>
      </c>
      <c r="P144" s="38"/>
      <c r="Q144" s="29" t="str">
        <f aca="false">IF(P144&lt;&gt;"",P144,O144)</f>
        <v/>
      </c>
      <c r="R144" s="38"/>
      <c r="S144" s="38"/>
      <c r="T144" s="38"/>
      <c r="U144" s="45" t="str">
        <f aca="false">IF(OR(F144="",D144=""),"",IF(G144=2,SUMIFS('Матрица 2027'!$J$6:$J$53,'Матрица 2027'!$B$6:$B$53,F144,'Матрица 2027'!$C$6:$C$53,D144),SUMIFS('Матрица 2027'!$I$6:$I$53,'Матрица 2027'!$B$6:$B$53,F144,'Матрица 2027'!$C$6:$C$53,D144)))</f>
        <v/>
      </c>
      <c r="V144" s="38"/>
    </row>
    <row r="145" customFormat="false" ht="15" hidden="false" customHeight="false" outlineLevel="0" collapsed="false">
      <c r="B145" s="24" t="str">
        <f aca="false">IF(C145="","",ROW()-4)</f>
        <v/>
      </c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40"/>
      <c r="N145" s="52" t="str">
        <f aca="false">IF(COUNT(H145:M145)&lt;6,"",ROUND((H145*'Резиденты — уровни'!$C$19+I145*'Резиденты — уровни'!$C$20+J145*'Резиденты — уровни'!$C$21+K145*'Резиденты — уровни'!$C$22+L145*'Резиденты — уровни'!$C$23+M145*'Резиденты — уровни'!$C$24)/SUM('Резиденты — уровни'!$C$19:$C$24),2))</f>
        <v/>
      </c>
      <c r="O145" s="39" t="str">
        <f aca="false">IF(N145="","",IF(N145&gt;='Резиденты — уровни'!$C$27,"A",IF(N145&gt;='Резиденты — уровни'!$C$28,"B","C")))</f>
        <v/>
      </c>
      <c r="P145" s="38"/>
      <c r="Q145" s="29" t="str">
        <f aca="false">IF(P145&lt;&gt;"",P145,O145)</f>
        <v/>
      </c>
      <c r="R145" s="38"/>
      <c r="S145" s="38"/>
      <c r="T145" s="38"/>
      <c r="U145" s="45" t="str">
        <f aca="false">IF(OR(F145="",D145=""),"",IF(G145=2,SUMIFS('Матрица 2027'!$J$6:$J$53,'Матрица 2027'!$B$6:$B$53,F145,'Матрица 2027'!$C$6:$C$53,D145),SUMIFS('Матрица 2027'!$I$6:$I$53,'Матрица 2027'!$B$6:$B$53,F145,'Матрица 2027'!$C$6:$C$53,D145)))</f>
        <v/>
      </c>
      <c r="V145" s="38"/>
    </row>
    <row r="146" customFormat="false" ht="15" hidden="false" customHeight="false" outlineLevel="0" collapsed="false">
      <c r="B146" s="24" t="str">
        <f aca="false">IF(C146="","",ROW()-4)</f>
        <v/>
      </c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40"/>
      <c r="N146" s="52" t="str">
        <f aca="false">IF(COUNT(H146:M146)&lt;6,"",ROUND((H146*'Резиденты — уровни'!$C$19+I146*'Резиденты — уровни'!$C$20+J146*'Резиденты — уровни'!$C$21+K146*'Резиденты — уровни'!$C$22+L146*'Резиденты — уровни'!$C$23+M146*'Резиденты — уровни'!$C$24)/SUM('Резиденты — уровни'!$C$19:$C$24),2))</f>
        <v/>
      </c>
      <c r="O146" s="39" t="str">
        <f aca="false">IF(N146="","",IF(N146&gt;='Резиденты — уровни'!$C$27,"A",IF(N146&gt;='Резиденты — уровни'!$C$28,"B","C")))</f>
        <v/>
      </c>
      <c r="P146" s="38"/>
      <c r="Q146" s="29" t="str">
        <f aca="false">IF(P146&lt;&gt;"",P146,O146)</f>
        <v/>
      </c>
      <c r="R146" s="38"/>
      <c r="S146" s="38"/>
      <c r="T146" s="38"/>
      <c r="U146" s="45" t="str">
        <f aca="false">IF(OR(F146="",D146=""),"",IF(G146=2,SUMIFS('Матрица 2027'!$J$6:$J$53,'Матрица 2027'!$B$6:$B$53,F146,'Матрица 2027'!$C$6:$C$53,D146),SUMIFS('Матрица 2027'!$I$6:$I$53,'Матрица 2027'!$B$6:$B$53,F146,'Матрица 2027'!$C$6:$C$53,D146)))</f>
        <v/>
      </c>
      <c r="V146" s="38"/>
    </row>
    <row r="147" customFormat="false" ht="15" hidden="false" customHeight="false" outlineLevel="0" collapsed="false">
      <c r="B147" s="24" t="str">
        <f aca="false">IF(C147="","",ROW()-4)</f>
        <v/>
      </c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40"/>
      <c r="N147" s="52" t="str">
        <f aca="false">IF(COUNT(H147:M147)&lt;6,"",ROUND((H147*'Резиденты — уровни'!$C$19+I147*'Резиденты — уровни'!$C$20+J147*'Резиденты — уровни'!$C$21+K147*'Резиденты — уровни'!$C$22+L147*'Резиденты — уровни'!$C$23+M147*'Резиденты — уровни'!$C$24)/SUM('Резиденты — уровни'!$C$19:$C$24),2))</f>
        <v/>
      </c>
      <c r="O147" s="39" t="str">
        <f aca="false">IF(N147="","",IF(N147&gt;='Резиденты — уровни'!$C$27,"A",IF(N147&gt;='Резиденты — уровни'!$C$28,"B","C")))</f>
        <v/>
      </c>
      <c r="P147" s="38"/>
      <c r="Q147" s="29" t="str">
        <f aca="false">IF(P147&lt;&gt;"",P147,O147)</f>
        <v/>
      </c>
      <c r="R147" s="38"/>
      <c r="S147" s="38"/>
      <c r="T147" s="38"/>
      <c r="U147" s="45" t="str">
        <f aca="false">IF(OR(F147="",D147=""),"",IF(G147=2,SUMIFS('Матрица 2027'!$J$6:$J$53,'Матрица 2027'!$B$6:$B$53,F147,'Матрица 2027'!$C$6:$C$53,D147),SUMIFS('Матрица 2027'!$I$6:$I$53,'Матрица 2027'!$B$6:$B$53,F147,'Матрица 2027'!$C$6:$C$53,D147)))</f>
        <v/>
      </c>
      <c r="V147" s="38"/>
    </row>
    <row r="148" customFormat="false" ht="15" hidden="false" customHeight="false" outlineLevel="0" collapsed="false">
      <c r="B148" s="24" t="str">
        <f aca="false">IF(C148="","",ROW()-4)</f>
        <v/>
      </c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40"/>
      <c r="N148" s="52" t="str">
        <f aca="false">IF(COUNT(H148:M148)&lt;6,"",ROUND((H148*'Резиденты — уровни'!$C$19+I148*'Резиденты — уровни'!$C$20+J148*'Резиденты — уровни'!$C$21+K148*'Резиденты — уровни'!$C$22+L148*'Резиденты — уровни'!$C$23+M148*'Резиденты — уровни'!$C$24)/SUM('Резиденты — уровни'!$C$19:$C$24),2))</f>
        <v/>
      </c>
      <c r="O148" s="39" t="str">
        <f aca="false">IF(N148="","",IF(N148&gt;='Резиденты — уровни'!$C$27,"A",IF(N148&gt;='Резиденты — уровни'!$C$28,"B","C")))</f>
        <v/>
      </c>
      <c r="P148" s="38"/>
      <c r="Q148" s="29" t="str">
        <f aca="false">IF(P148&lt;&gt;"",P148,O148)</f>
        <v/>
      </c>
      <c r="R148" s="38"/>
      <c r="S148" s="38"/>
      <c r="T148" s="38"/>
      <c r="U148" s="45" t="str">
        <f aca="false">IF(OR(F148="",D148=""),"",IF(G148=2,SUMIFS('Матрица 2027'!$J$6:$J$53,'Матрица 2027'!$B$6:$B$53,F148,'Матрица 2027'!$C$6:$C$53,D148),SUMIFS('Матрица 2027'!$I$6:$I$53,'Матрица 2027'!$B$6:$B$53,F148,'Матрица 2027'!$C$6:$C$53,D148)))</f>
        <v/>
      </c>
      <c r="V148" s="38"/>
    </row>
    <row r="149" customFormat="false" ht="15" hidden="false" customHeight="false" outlineLevel="0" collapsed="false">
      <c r="B149" s="24" t="str">
        <f aca="false">IF(C149="","",ROW()-4)</f>
        <v/>
      </c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40"/>
      <c r="N149" s="52" t="str">
        <f aca="false">IF(COUNT(H149:M149)&lt;6,"",ROUND((H149*'Резиденты — уровни'!$C$19+I149*'Резиденты — уровни'!$C$20+J149*'Резиденты — уровни'!$C$21+K149*'Резиденты — уровни'!$C$22+L149*'Резиденты — уровни'!$C$23+M149*'Резиденты — уровни'!$C$24)/SUM('Резиденты — уровни'!$C$19:$C$24),2))</f>
        <v/>
      </c>
      <c r="O149" s="39" t="str">
        <f aca="false">IF(N149="","",IF(N149&gt;='Резиденты — уровни'!$C$27,"A",IF(N149&gt;='Резиденты — уровни'!$C$28,"B","C")))</f>
        <v/>
      </c>
      <c r="P149" s="38"/>
      <c r="Q149" s="29" t="str">
        <f aca="false">IF(P149&lt;&gt;"",P149,O149)</f>
        <v/>
      </c>
      <c r="R149" s="38"/>
      <c r="S149" s="38"/>
      <c r="T149" s="38"/>
      <c r="U149" s="45" t="str">
        <f aca="false">IF(OR(F149="",D149=""),"",IF(G149=2,SUMIFS('Матрица 2027'!$J$6:$J$53,'Матрица 2027'!$B$6:$B$53,F149,'Матрица 2027'!$C$6:$C$53,D149),SUMIFS('Матрица 2027'!$I$6:$I$53,'Матрица 2027'!$B$6:$B$53,F149,'Матрица 2027'!$C$6:$C$53,D149)))</f>
        <v/>
      </c>
      <c r="V149" s="38"/>
    </row>
    <row r="150" customFormat="false" ht="15" hidden="false" customHeight="false" outlineLevel="0" collapsed="false">
      <c r="B150" s="24" t="str">
        <f aca="false">IF(C150="","",ROW()-4)</f>
        <v/>
      </c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40"/>
      <c r="N150" s="52" t="str">
        <f aca="false">IF(COUNT(H150:M150)&lt;6,"",ROUND((H150*'Резиденты — уровни'!$C$19+I150*'Резиденты — уровни'!$C$20+J150*'Резиденты — уровни'!$C$21+K150*'Резиденты — уровни'!$C$22+L150*'Резиденты — уровни'!$C$23+M150*'Резиденты — уровни'!$C$24)/SUM('Резиденты — уровни'!$C$19:$C$24),2))</f>
        <v/>
      </c>
      <c r="O150" s="39" t="str">
        <f aca="false">IF(N150="","",IF(N150&gt;='Резиденты — уровни'!$C$27,"A",IF(N150&gt;='Резиденты — уровни'!$C$28,"B","C")))</f>
        <v/>
      </c>
      <c r="P150" s="38"/>
      <c r="Q150" s="29" t="str">
        <f aca="false">IF(P150&lt;&gt;"",P150,O150)</f>
        <v/>
      </c>
      <c r="R150" s="38"/>
      <c r="S150" s="38"/>
      <c r="T150" s="38"/>
      <c r="U150" s="45" t="str">
        <f aca="false">IF(OR(F150="",D150=""),"",IF(G150=2,SUMIFS('Матрица 2027'!$J$6:$J$53,'Матрица 2027'!$B$6:$B$53,F150,'Матрица 2027'!$C$6:$C$53,D150),SUMIFS('Матрица 2027'!$I$6:$I$53,'Матрица 2027'!$B$6:$B$53,F150,'Матрица 2027'!$C$6:$C$53,D150)))</f>
        <v/>
      </c>
      <c r="V150" s="38"/>
    </row>
    <row r="151" customFormat="false" ht="15" hidden="false" customHeight="false" outlineLevel="0" collapsed="false">
      <c r="B151" s="24" t="str">
        <f aca="false">IF(C151="","",ROW()-4)</f>
        <v/>
      </c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40"/>
      <c r="N151" s="52" t="str">
        <f aca="false">IF(COUNT(H151:M151)&lt;6,"",ROUND((H151*'Резиденты — уровни'!$C$19+I151*'Резиденты — уровни'!$C$20+J151*'Резиденты — уровни'!$C$21+K151*'Резиденты — уровни'!$C$22+L151*'Резиденты — уровни'!$C$23+M151*'Резиденты — уровни'!$C$24)/SUM('Резиденты — уровни'!$C$19:$C$24),2))</f>
        <v/>
      </c>
      <c r="O151" s="39" t="str">
        <f aca="false">IF(N151="","",IF(N151&gt;='Резиденты — уровни'!$C$27,"A",IF(N151&gt;='Резиденты — уровни'!$C$28,"B","C")))</f>
        <v/>
      </c>
      <c r="P151" s="38"/>
      <c r="Q151" s="29" t="str">
        <f aca="false">IF(P151&lt;&gt;"",P151,O151)</f>
        <v/>
      </c>
      <c r="R151" s="38"/>
      <c r="S151" s="38"/>
      <c r="T151" s="38"/>
      <c r="U151" s="45" t="str">
        <f aca="false">IF(OR(F151="",D151=""),"",IF(G151=2,SUMIFS('Матрица 2027'!$J$6:$J$53,'Матрица 2027'!$B$6:$B$53,F151,'Матрица 2027'!$C$6:$C$53,D151),SUMIFS('Матрица 2027'!$I$6:$I$53,'Матрица 2027'!$B$6:$B$53,F151,'Матрица 2027'!$C$6:$C$53,D151)))</f>
        <v/>
      </c>
      <c r="V151" s="38"/>
    </row>
    <row r="152" customFormat="false" ht="15" hidden="false" customHeight="false" outlineLevel="0" collapsed="false">
      <c r="B152" s="24" t="str">
        <f aca="false">IF(C152="","",ROW()-4)</f>
        <v/>
      </c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40"/>
      <c r="N152" s="52" t="str">
        <f aca="false">IF(COUNT(H152:M152)&lt;6,"",ROUND((H152*'Резиденты — уровни'!$C$19+I152*'Резиденты — уровни'!$C$20+J152*'Резиденты — уровни'!$C$21+K152*'Резиденты — уровни'!$C$22+L152*'Резиденты — уровни'!$C$23+M152*'Резиденты — уровни'!$C$24)/SUM('Резиденты — уровни'!$C$19:$C$24),2))</f>
        <v/>
      </c>
      <c r="O152" s="39" t="str">
        <f aca="false">IF(N152="","",IF(N152&gt;='Резиденты — уровни'!$C$27,"A",IF(N152&gt;='Резиденты — уровни'!$C$28,"B","C")))</f>
        <v/>
      </c>
      <c r="P152" s="38"/>
      <c r="Q152" s="29" t="str">
        <f aca="false">IF(P152&lt;&gt;"",P152,O152)</f>
        <v/>
      </c>
      <c r="R152" s="38"/>
      <c r="S152" s="38"/>
      <c r="T152" s="38"/>
      <c r="U152" s="45" t="str">
        <f aca="false">IF(OR(F152="",D152=""),"",IF(G152=2,SUMIFS('Матрица 2027'!$J$6:$J$53,'Матрица 2027'!$B$6:$B$53,F152,'Матрица 2027'!$C$6:$C$53,D152),SUMIFS('Матрица 2027'!$I$6:$I$53,'Матрица 2027'!$B$6:$B$53,F152,'Матрица 2027'!$C$6:$C$53,D152)))</f>
        <v/>
      </c>
      <c r="V152" s="38"/>
    </row>
    <row r="153" customFormat="false" ht="15" hidden="false" customHeight="false" outlineLevel="0" collapsed="false">
      <c r="B153" s="24" t="str">
        <f aca="false">IF(C153="","",ROW()-4)</f>
        <v/>
      </c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40"/>
      <c r="N153" s="52" t="str">
        <f aca="false">IF(COUNT(H153:M153)&lt;6,"",ROUND((H153*'Резиденты — уровни'!$C$19+I153*'Резиденты — уровни'!$C$20+J153*'Резиденты — уровни'!$C$21+K153*'Резиденты — уровни'!$C$22+L153*'Резиденты — уровни'!$C$23+M153*'Резиденты — уровни'!$C$24)/SUM('Резиденты — уровни'!$C$19:$C$24),2))</f>
        <v/>
      </c>
      <c r="O153" s="39" t="str">
        <f aca="false">IF(N153="","",IF(N153&gt;='Резиденты — уровни'!$C$27,"A",IF(N153&gt;='Резиденты — уровни'!$C$28,"B","C")))</f>
        <v/>
      </c>
      <c r="P153" s="38"/>
      <c r="Q153" s="29" t="str">
        <f aca="false">IF(P153&lt;&gt;"",P153,O153)</f>
        <v/>
      </c>
      <c r="R153" s="38"/>
      <c r="S153" s="38"/>
      <c r="T153" s="38"/>
      <c r="U153" s="45" t="str">
        <f aca="false">IF(OR(F153="",D153=""),"",IF(G153=2,SUMIFS('Матрица 2027'!$J$6:$J$53,'Матрица 2027'!$B$6:$B$53,F153,'Матрица 2027'!$C$6:$C$53,D153),SUMIFS('Матрица 2027'!$I$6:$I$53,'Матрица 2027'!$B$6:$B$53,F153,'Матрица 2027'!$C$6:$C$53,D153)))</f>
        <v/>
      </c>
      <c r="V153" s="38"/>
    </row>
    <row r="154" customFormat="false" ht="15" hidden="false" customHeight="false" outlineLevel="0" collapsed="false">
      <c r="B154" s="24" t="str">
        <f aca="false">IF(C154="","",ROW()-4)</f>
        <v/>
      </c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40"/>
      <c r="N154" s="52" t="str">
        <f aca="false">IF(COUNT(H154:M154)&lt;6,"",ROUND((H154*'Резиденты — уровни'!$C$19+I154*'Резиденты — уровни'!$C$20+J154*'Резиденты — уровни'!$C$21+K154*'Резиденты — уровни'!$C$22+L154*'Резиденты — уровни'!$C$23+M154*'Резиденты — уровни'!$C$24)/SUM('Резиденты — уровни'!$C$19:$C$24),2))</f>
        <v/>
      </c>
      <c r="O154" s="39" t="str">
        <f aca="false">IF(N154="","",IF(N154&gt;='Резиденты — уровни'!$C$27,"A",IF(N154&gt;='Резиденты — уровни'!$C$28,"B","C")))</f>
        <v/>
      </c>
      <c r="P154" s="38"/>
      <c r="Q154" s="29" t="str">
        <f aca="false">IF(P154&lt;&gt;"",P154,O154)</f>
        <v/>
      </c>
      <c r="R154" s="38"/>
      <c r="S154" s="38"/>
      <c r="T154" s="38"/>
      <c r="U154" s="45" t="str">
        <f aca="false">IF(OR(F154="",D154=""),"",IF(G154=2,SUMIFS('Матрица 2027'!$J$6:$J$53,'Матрица 2027'!$B$6:$B$53,F154,'Матрица 2027'!$C$6:$C$53,D154),SUMIFS('Матрица 2027'!$I$6:$I$53,'Матрица 2027'!$B$6:$B$53,F154,'Матрица 2027'!$C$6:$C$53,D154)))</f>
        <v/>
      </c>
      <c r="V154" s="38"/>
    </row>
    <row r="155" customFormat="false" ht="15" hidden="false" customHeight="false" outlineLevel="0" collapsed="false">
      <c r="B155" s="24" t="str">
        <f aca="false">IF(C155="","",ROW()-4)</f>
        <v/>
      </c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40"/>
      <c r="N155" s="52" t="str">
        <f aca="false">IF(COUNT(H155:M155)&lt;6,"",ROUND((H155*'Резиденты — уровни'!$C$19+I155*'Резиденты — уровни'!$C$20+J155*'Резиденты — уровни'!$C$21+K155*'Резиденты — уровни'!$C$22+L155*'Резиденты — уровни'!$C$23+M155*'Резиденты — уровни'!$C$24)/SUM('Резиденты — уровни'!$C$19:$C$24),2))</f>
        <v/>
      </c>
      <c r="O155" s="39" t="str">
        <f aca="false">IF(N155="","",IF(N155&gt;='Резиденты — уровни'!$C$27,"A",IF(N155&gt;='Резиденты — уровни'!$C$28,"B","C")))</f>
        <v/>
      </c>
      <c r="P155" s="38"/>
      <c r="Q155" s="29" t="str">
        <f aca="false">IF(P155&lt;&gt;"",P155,O155)</f>
        <v/>
      </c>
      <c r="R155" s="38"/>
      <c r="S155" s="38"/>
      <c r="T155" s="38"/>
      <c r="U155" s="45" t="str">
        <f aca="false">IF(OR(F155="",D155=""),"",IF(G155=2,SUMIFS('Матрица 2027'!$J$6:$J$53,'Матрица 2027'!$B$6:$B$53,F155,'Матрица 2027'!$C$6:$C$53,D155),SUMIFS('Матрица 2027'!$I$6:$I$53,'Матрица 2027'!$B$6:$B$53,F155,'Матрица 2027'!$C$6:$C$53,D155)))</f>
        <v/>
      </c>
      <c r="V155" s="38"/>
    </row>
    <row r="156" customFormat="false" ht="15" hidden="false" customHeight="false" outlineLevel="0" collapsed="false">
      <c r="B156" s="24" t="str">
        <f aca="false">IF(C156="","",ROW()-4)</f>
        <v/>
      </c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40"/>
      <c r="N156" s="52" t="str">
        <f aca="false">IF(COUNT(H156:M156)&lt;6,"",ROUND((H156*'Резиденты — уровни'!$C$19+I156*'Резиденты — уровни'!$C$20+J156*'Резиденты — уровни'!$C$21+K156*'Резиденты — уровни'!$C$22+L156*'Резиденты — уровни'!$C$23+M156*'Резиденты — уровни'!$C$24)/SUM('Резиденты — уровни'!$C$19:$C$24),2))</f>
        <v/>
      </c>
      <c r="O156" s="39" t="str">
        <f aca="false">IF(N156="","",IF(N156&gt;='Резиденты — уровни'!$C$27,"A",IF(N156&gt;='Резиденты — уровни'!$C$28,"B","C")))</f>
        <v/>
      </c>
      <c r="P156" s="38"/>
      <c r="Q156" s="29" t="str">
        <f aca="false">IF(P156&lt;&gt;"",P156,O156)</f>
        <v/>
      </c>
      <c r="R156" s="38"/>
      <c r="S156" s="38"/>
      <c r="T156" s="38"/>
      <c r="U156" s="45" t="str">
        <f aca="false">IF(OR(F156="",D156=""),"",IF(G156=2,SUMIFS('Матрица 2027'!$J$6:$J$53,'Матрица 2027'!$B$6:$B$53,F156,'Матрица 2027'!$C$6:$C$53,D156),SUMIFS('Матрица 2027'!$I$6:$I$53,'Матрица 2027'!$B$6:$B$53,F156,'Матрица 2027'!$C$6:$C$53,D156)))</f>
        <v/>
      </c>
      <c r="V156" s="38"/>
    </row>
    <row r="157" customFormat="false" ht="15" hidden="false" customHeight="false" outlineLevel="0" collapsed="false">
      <c r="B157" s="24" t="str">
        <f aca="false">IF(C157="","",ROW()-4)</f>
        <v/>
      </c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40"/>
      <c r="N157" s="52" t="str">
        <f aca="false">IF(COUNT(H157:M157)&lt;6,"",ROUND((H157*'Резиденты — уровни'!$C$19+I157*'Резиденты — уровни'!$C$20+J157*'Резиденты — уровни'!$C$21+K157*'Резиденты — уровни'!$C$22+L157*'Резиденты — уровни'!$C$23+M157*'Резиденты — уровни'!$C$24)/SUM('Резиденты — уровни'!$C$19:$C$24),2))</f>
        <v/>
      </c>
      <c r="O157" s="39" t="str">
        <f aca="false">IF(N157="","",IF(N157&gt;='Резиденты — уровни'!$C$27,"A",IF(N157&gt;='Резиденты — уровни'!$C$28,"B","C")))</f>
        <v/>
      </c>
      <c r="P157" s="38"/>
      <c r="Q157" s="29" t="str">
        <f aca="false">IF(P157&lt;&gt;"",P157,O157)</f>
        <v/>
      </c>
      <c r="R157" s="38"/>
      <c r="S157" s="38"/>
      <c r="T157" s="38"/>
      <c r="U157" s="45" t="str">
        <f aca="false">IF(OR(F157="",D157=""),"",IF(G157=2,SUMIFS('Матрица 2027'!$J$6:$J$53,'Матрица 2027'!$B$6:$B$53,F157,'Матрица 2027'!$C$6:$C$53,D157),SUMIFS('Матрица 2027'!$I$6:$I$53,'Матрица 2027'!$B$6:$B$53,F157,'Матрица 2027'!$C$6:$C$53,D157)))</f>
        <v/>
      </c>
      <c r="V157" s="38"/>
    </row>
    <row r="158" customFormat="false" ht="15" hidden="false" customHeight="false" outlineLevel="0" collapsed="false">
      <c r="B158" s="24" t="str">
        <f aca="false">IF(C158="","",ROW()-4)</f>
        <v/>
      </c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40"/>
      <c r="N158" s="52" t="str">
        <f aca="false">IF(COUNT(H158:M158)&lt;6,"",ROUND((H158*'Резиденты — уровни'!$C$19+I158*'Резиденты — уровни'!$C$20+J158*'Резиденты — уровни'!$C$21+K158*'Резиденты — уровни'!$C$22+L158*'Резиденты — уровни'!$C$23+M158*'Резиденты — уровни'!$C$24)/SUM('Резиденты — уровни'!$C$19:$C$24),2))</f>
        <v/>
      </c>
      <c r="O158" s="39" t="str">
        <f aca="false">IF(N158="","",IF(N158&gt;='Резиденты — уровни'!$C$27,"A",IF(N158&gt;='Резиденты — уровни'!$C$28,"B","C")))</f>
        <v/>
      </c>
      <c r="P158" s="38"/>
      <c r="Q158" s="29" t="str">
        <f aca="false">IF(P158&lt;&gt;"",P158,O158)</f>
        <v/>
      </c>
      <c r="R158" s="38"/>
      <c r="S158" s="38"/>
      <c r="T158" s="38"/>
      <c r="U158" s="45" t="str">
        <f aca="false">IF(OR(F158="",D158=""),"",IF(G158=2,SUMIFS('Матрица 2027'!$J$6:$J$53,'Матрица 2027'!$B$6:$B$53,F158,'Матрица 2027'!$C$6:$C$53,D158),SUMIFS('Матрица 2027'!$I$6:$I$53,'Матрица 2027'!$B$6:$B$53,F158,'Матрица 2027'!$C$6:$C$53,D158)))</f>
        <v/>
      </c>
      <c r="V158" s="38"/>
    </row>
    <row r="159" customFormat="false" ht="15" hidden="false" customHeight="false" outlineLevel="0" collapsed="false">
      <c r="B159" s="24" t="str">
        <f aca="false">IF(C159="","",ROW()-4)</f>
        <v/>
      </c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40"/>
      <c r="N159" s="52" t="str">
        <f aca="false">IF(COUNT(H159:M159)&lt;6,"",ROUND((H159*'Резиденты — уровни'!$C$19+I159*'Резиденты — уровни'!$C$20+J159*'Резиденты — уровни'!$C$21+K159*'Резиденты — уровни'!$C$22+L159*'Резиденты — уровни'!$C$23+M159*'Резиденты — уровни'!$C$24)/SUM('Резиденты — уровни'!$C$19:$C$24),2))</f>
        <v/>
      </c>
      <c r="O159" s="39" t="str">
        <f aca="false">IF(N159="","",IF(N159&gt;='Резиденты — уровни'!$C$27,"A",IF(N159&gt;='Резиденты — уровни'!$C$28,"B","C")))</f>
        <v/>
      </c>
      <c r="P159" s="38"/>
      <c r="Q159" s="29" t="str">
        <f aca="false">IF(P159&lt;&gt;"",P159,O159)</f>
        <v/>
      </c>
      <c r="R159" s="38"/>
      <c r="S159" s="38"/>
      <c r="T159" s="38"/>
      <c r="U159" s="45" t="str">
        <f aca="false">IF(OR(F159="",D159=""),"",IF(G159=2,SUMIFS('Матрица 2027'!$J$6:$J$53,'Матрица 2027'!$B$6:$B$53,F159,'Матрица 2027'!$C$6:$C$53,D159),SUMIFS('Матрица 2027'!$I$6:$I$53,'Матрица 2027'!$B$6:$B$53,F159,'Матрица 2027'!$C$6:$C$53,D159)))</f>
        <v/>
      </c>
      <c r="V159" s="38"/>
    </row>
    <row r="160" customFormat="false" ht="15" hidden="false" customHeight="false" outlineLevel="0" collapsed="false">
      <c r="B160" s="24" t="str">
        <f aca="false">IF(C160="","",ROW()-4)</f>
        <v/>
      </c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40"/>
      <c r="N160" s="52" t="str">
        <f aca="false">IF(COUNT(H160:M160)&lt;6,"",ROUND((H160*'Резиденты — уровни'!$C$19+I160*'Резиденты — уровни'!$C$20+J160*'Резиденты — уровни'!$C$21+K160*'Резиденты — уровни'!$C$22+L160*'Резиденты — уровни'!$C$23+M160*'Резиденты — уровни'!$C$24)/SUM('Резиденты — уровни'!$C$19:$C$24),2))</f>
        <v/>
      </c>
      <c r="O160" s="39" t="str">
        <f aca="false">IF(N160="","",IF(N160&gt;='Резиденты — уровни'!$C$27,"A",IF(N160&gt;='Резиденты — уровни'!$C$28,"B","C")))</f>
        <v/>
      </c>
      <c r="P160" s="38"/>
      <c r="Q160" s="29" t="str">
        <f aca="false">IF(P160&lt;&gt;"",P160,O160)</f>
        <v/>
      </c>
      <c r="R160" s="38"/>
      <c r="S160" s="38"/>
      <c r="T160" s="38"/>
      <c r="U160" s="45" t="str">
        <f aca="false">IF(OR(F160="",D160=""),"",IF(G160=2,SUMIFS('Матрица 2027'!$J$6:$J$53,'Матрица 2027'!$B$6:$B$53,F160,'Матрица 2027'!$C$6:$C$53,D160),SUMIFS('Матрица 2027'!$I$6:$I$53,'Матрица 2027'!$B$6:$B$53,F160,'Матрица 2027'!$C$6:$C$53,D160)))</f>
        <v/>
      </c>
      <c r="V160" s="38"/>
    </row>
    <row r="161" customFormat="false" ht="15" hidden="false" customHeight="false" outlineLevel="0" collapsed="false">
      <c r="B161" s="24" t="str">
        <f aca="false">IF(C161="","",ROW()-4)</f>
        <v/>
      </c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40"/>
      <c r="N161" s="52" t="str">
        <f aca="false">IF(COUNT(H161:M161)&lt;6,"",ROUND((H161*'Резиденты — уровни'!$C$19+I161*'Резиденты — уровни'!$C$20+J161*'Резиденты — уровни'!$C$21+K161*'Резиденты — уровни'!$C$22+L161*'Резиденты — уровни'!$C$23+M161*'Резиденты — уровни'!$C$24)/SUM('Резиденты — уровни'!$C$19:$C$24),2))</f>
        <v/>
      </c>
      <c r="O161" s="39" t="str">
        <f aca="false">IF(N161="","",IF(N161&gt;='Резиденты — уровни'!$C$27,"A",IF(N161&gt;='Резиденты — уровни'!$C$28,"B","C")))</f>
        <v/>
      </c>
      <c r="P161" s="38"/>
      <c r="Q161" s="29" t="str">
        <f aca="false">IF(P161&lt;&gt;"",P161,O161)</f>
        <v/>
      </c>
      <c r="R161" s="38"/>
      <c r="S161" s="38"/>
      <c r="T161" s="38"/>
      <c r="U161" s="45" t="str">
        <f aca="false">IF(OR(F161="",D161=""),"",IF(G161=2,SUMIFS('Матрица 2027'!$J$6:$J$53,'Матрица 2027'!$B$6:$B$53,F161,'Матрица 2027'!$C$6:$C$53,D161),SUMIFS('Матрица 2027'!$I$6:$I$53,'Матрица 2027'!$B$6:$B$53,F161,'Матрица 2027'!$C$6:$C$53,D161)))</f>
        <v/>
      </c>
      <c r="V161" s="38"/>
    </row>
    <row r="162" customFormat="false" ht="15" hidden="false" customHeight="false" outlineLevel="0" collapsed="false">
      <c r="B162" s="24" t="str">
        <f aca="false">IF(C162="","",ROW()-4)</f>
        <v/>
      </c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40"/>
      <c r="N162" s="52" t="str">
        <f aca="false">IF(COUNT(H162:M162)&lt;6,"",ROUND((H162*'Резиденты — уровни'!$C$19+I162*'Резиденты — уровни'!$C$20+J162*'Резиденты — уровни'!$C$21+K162*'Резиденты — уровни'!$C$22+L162*'Резиденты — уровни'!$C$23+M162*'Резиденты — уровни'!$C$24)/SUM('Резиденты — уровни'!$C$19:$C$24),2))</f>
        <v/>
      </c>
      <c r="O162" s="39" t="str">
        <f aca="false">IF(N162="","",IF(N162&gt;='Резиденты — уровни'!$C$27,"A",IF(N162&gt;='Резиденты — уровни'!$C$28,"B","C")))</f>
        <v/>
      </c>
      <c r="P162" s="38"/>
      <c r="Q162" s="29" t="str">
        <f aca="false">IF(P162&lt;&gt;"",P162,O162)</f>
        <v/>
      </c>
      <c r="R162" s="38"/>
      <c r="S162" s="38"/>
      <c r="T162" s="38"/>
      <c r="U162" s="45" t="str">
        <f aca="false">IF(OR(F162="",D162=""),"",IF(G162=2,SUMIFS('Матрица 2027'!$J$6:$J$53,'Матрица 2027'!$B$6:$B$53,F162,'Матрица 2027'!$C$6:$C$53,D162),SUMIFS('Матрица 2027'!$I$6:$I$53,'Матрица 2027'!$B$6:$B$53,F162,'Матрица 2027'!$C$6:$C$53,D162)))</f>
        <v/>
      </c>
      <c r="V162" s="38"/>
    </row>
    <row r="163" customFormat="false" ht="15" hidden="false" customHeight="false" outlineLevel="0" collapsed="false">
      <c r="B163" s="24" t="str">
        <f aca="false">IF(C163="","",ROW()-4)</f>
        <v/>
      </c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40"/>
      <c r="N163" s="52" t="str">
        <f aca="false">IF(COUNT(H163:M163)&lt;6,"",ROUND((H163*'Резиденты — уровни'!$C$19+I163*'Резиденты — уровни'!$C$20+J163*'Резиденты — уровни'!$C$21+K163*'Резиденты — уровни'!$C$22+L163*'Резиденты — уровни'!$C$23+M163*'Резиденты — уровни'!$C$24)/SUM('Резиденты — уровни'!$C$19:$C$24),2))</f>
        <v/>
      </c>
      <c r="O163" s="39" t="str">
        <f aca="false">IF(N163="","",IF(N163&gt;='Резиденты — уровни'!$C$27,"A",IF(N163&gt;='Резиденты — уровни'!$C$28,"B","C")))</f>
        <v/>
      </c>
      <c r="P163" s="38"/>
      <c r="Q163" s="29" t="str">
        <f aca="false">IF(P163&lt;&gt;"",P163,O163)</f>
        <v/>
      </c>
      <c r="R163" s="38"/>
      <c r="S163" s="38"/>
      <c r="T163" s="38"/>
      <c r="U163" s="45" t="str">
        <f aca="false">IF(OR(F163="",D163=""),"",IF(G163=2,SUMIFS('Матрица 2027'!$J$6:$J$53,'Матрица 2027'!$B$6:$B$53,F163,'Матрица 2027'!$C$6:$C$53,D163),SUMIFS('Матрица 2027'!$I$6:$I$53,'Матрица 2027'!$B$6:$B$53,F163,'Матрица 2027'!$C$6:$C$53,D163)))</f>
        <v/>
      </c>
      <c r="V163" s="38"/>
    </row>
    <row r="164" customFormat="false" ht="15" hidden="false" customHeight="false" outlineLevel="0" collapsed="false">
      <c r="B164" s="24" t="str">
        <f aca="false">IF(C164="","",ROW()-4)</f>
        <v/>
      </c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40"/>
      <c r="N164" s="52" t="str">
        <f aca="false">IF(COUNT(H164:M164)&lt;6,"",ROUND((H164*'Резиденты — уровни'!$C$19+I164*'Резиденты — уровни'!$C$20+J164*'Резиденты — уровни'!$C$21+K164*'Резиденты — уровни'!$C$22+L164*'Резиденты — уровни'!$C$23+M164*'Резиденты — уровни'!$C$24)/SUM('Резиденты — уровни'!$C$19:$C$24),2))</f>
        <v/>
      </c>
      <c r="O164" s="39" t="str">
        <f aca="false">IF(N164="","",IF(N164&gt;='Резиденты — уровни'!$C$27,"A",IF(N164&gt;='Резиденты — уровни'!$C$28,"B","C")))</f>
        <v/>
      </c>
      <c r="P164" s="38"/>
      <c r="Q164" s="29" t="str">
        <f aca="false">IF(P164&lt;&gt;"",P164,O164)</f>
        <v/>
      </c>
      <c r="R164" s="38"/>
      <c r="S164" s="38"/>
      <c r="T164" s="38"/>
      <c r="U164" s="45" t="str">
        <f aca="false">IF(OR(F164="",D164=""),"",IF(G164=2,SUMIFS('Матрица 2027'!$J$6:$J$53,'Матрица 2027'!$B$6:$B$53,F164,'Матрица 2027'!$C$6:$C$53,D164),SUMIFS('Матрица 2027'!$I$6:$I$53,'Матрица 2027'!$B$6:$B$53,F164,'Матрица 2027'!$C$6:$C$53,D164)))</f>
        <v/>
      </c>
      <c r="V164" s="38"/>
    </row>
    <row r="165" customFormat="false" ht="15" hidden="false" customHeight="false" outlineLevel="0" collapsed="false">
      <c r="B165" s="24" t="str">
        <f aca="false">IF(C165="","",ROW()-4)</f>
        <v/>
      </c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40"/>
      <c r="N165" s="52" t="str">
        <f aca="false">IF(COUNT(H165:M165)&lt;6,"",ROUND((H165*'Резиденты — уровни'!$C$19+I165*'Резиденты — уровни'!$C$20+J165*'Резиденты — уровни'!$C$21+K165*'Резиденты — уровни'!$C$22+L165*'Резиденты — уровни'!$C$23+M165*'Резиденты — уровни'!$C$24)/SUM('Резиденты — уровни'!$C$19:$C$24),2))</f>
        <v/>
      </c>
      <c r="O165" s="39" t="str">
        <f aca="false">IF(N165="","",IF(N165&gt;='Резиденты — уровни'!$C$27,"A",IF(N165&gt;='Резиденты — уровни'!$C$28,"B","C")))</f>
        <v/>
      </c>
      <c r="P165" s="38"/>
      <c r="Q165" s="29" t="str">
        <f aca="false">IF(P165&lt;&gt;"",P165,O165)</f>
        <v/>
      </c>
      <c r="R165" s="38"/>
      <c r="S165" s="38"/>
      <c r="T165" s="38"/>
      <c r="U165" s="45" t="str">
        <f aca="false">IF(OR(F165="",D165=""),"",IF(G165=2,SUMIFS('Матрица 2027'!$J$6:$J$53,'Матрица 2027'!$B$6:$B$53,F165,'Матрица 2027'!$C$6:$C$53,D165),SUMIFS('Матрица 2027'!$I$6:$I$53,'Матрица 2027'!$B$6:$B$53,F165,'Матрица 2027'!$C$6:$C$53,D165)))</f>
        <v/>
      </c>
      <c r="V165" s="38"/>
    </row>
    <row r="166" customFormat="false" ht="15" hidden="false" customHeight="false" outlineLevel="0" collapsed="false">
      <c r="B166" s="24" t="str">
        <f aca="false">IF(C166="","",ROW()-4)</f>
        <v/>
      </c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40"/>
      <c r="N166" s="52" t="str">
        <f aca="false">IF(COUNT(H166:M166)&lt;6,"",ROUND((H166*'Резиденты — уровни'!$C$19+I166*'Резиденты — уровни'!$C$20+J166*'Резиденты — уровни'!$C$21+K166*'Резиденты — уровни'!$C$22+L166*'Резиденты — уровни'!$C$23+M166*'Резиденты — уровни'!$C$24)/SUM('Резиденты — уровни'!$C$19:$C$24),2))</f>
        <v/>
      </c>
      <c r="O166" s="39" t="str">
        <f aca="false">IF(N166="","",IF(N166&gt;='Резиденты — уровни'!$C$27,"A",IF(N166&gt;='Резиденты — уровни'!$C$28,"B","C")))</f>
        <v/>
      </c>
      <c r="P166" s="38"/>
      <c r="Q166" s="29" t="str">
        <f aca="false">IF(P166&lt;&gt;"",P166,O166)</f>
        <v/>
      </c>
      <c r="R166" s="38"/>
      <c r="S166" s="38"/>
      <c r="T166" s="38"/>
      <c r="U166" s="45" t="str">
        <f aca="false">IF(OR(F166="",D166=""),"",IF(G166=2,SUMIFS('Матрица 2027'!$J$6:$J$53,'Матрица 2027'!$B$6:$B$53,F166,'Матрица 2027'!$C$6:$C$53,D166),SUMIFS('Матрица 2027'!$I$6:$I$53,'Матрица 2027'!$B$6:$B$53,F166,'Матрица 2027'!$C$6:$C$53,D166)))</f>
        <v/>
      </c>
      <c r="V166" s="38"/>
    </row>
    <row r="167" customFormat="false" ht="15" hidden="false" customHeight="false" outlineLevel="0" collapsed="false">
      <c r="B167" s="24" t="str">
        <f aca="false">IF(C167="","",ROW()-4)</f>
        <v/>
      </c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40"/>
      <c r="N167" s="52" t="str">
        <f aca="false">IF(COUNT(H167:M167)&lt;6,"",ROUND((H167*'Резиденты — уровни'!$C$19+I167*'Резиденты — уровни'!$C$20+J167*'Резиденты — уровни'!$C$21+K167*'Резиденты — уровни'!$C$22+L167*'Резиденты — уровни'!$C$23+M167*'Резиденты — уровни'!$C$24)/SUM('Резиденты — уровни'!$C$19:$C$24),2))</f>
        <v/>
      </c>
      <c r="O167" s="39" t="str">
        <f aca="false">IF(N167="","",IF(N167&gt;='Резиденты — уровни'!$C$27,"A",IF(N167&gt;='Резиденты — уровни'!$C$28,"B","C")))</f>
        <v/>
      </c>
      <c r="P167" s="38"/>
      <c r="Q167" s="29" t="str">
        <f aca="false">IF(P167&lt;&gt;"",P167,O167)</f>
        <v/>
      </c>
      <c r="R167" s="38"/>
      <c r="S167" s="38"/>
      <c r="T167" s="38"/>
      <c r="U167" s="45" t="str">
        <f aca="false">IF(OR(F167="",D167=""),"",IF(G167=2,SUMIFS('Матрица 2027'!$J$6:$J$53,'Матрица 2027'!$B$6:$B$53,F167,'Матрица 2027'!$C$6:$C$53,D167),SUMIFS('Матрица 2027'!$I$6:$I$53,'Матрица 2027'!$B$6:$B$53,F167,'Матрица 2027'!$C$6:$C$53,D167)))</f>
        <v/>
      </c>
      <c r="V167" s="38"/>
    </row>
    <row r="168" customFormat="false" ht="15" hidden="false" customHeight="false" outlineLevel="0" collapsed="false">
      <c r="B168" s="24" t="str">
        <f aca="false">IF(C168="","",ROW()-4)</f>
        <v/>
      </c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40"/>
      <c r="N168" s="52" t="str">
        <f aca="false">IF(COUNT(H168:M168)&lt;6,"",ROUND((H168*'Резиденты — уровни'!$C$19+I168*'Резиденты — уровни'!$C$20+J168*'Резиденты — уровни'!$C$21+K168*'Резиденты — уровни'!$C$22+L168*'Резиденты — уровни'!$C$23+M168*'Резиденты — уровни'!$C$24)/SUM('Резиденты — уровни'!$C$19:$C$24),2))</f>
        <v/>
      </c>
      <c r="O168" s="39" t="str">
        <f aca="false">IF(N168="","",IF(N168&gt;='Резиденты — уровни'!$C$27,"A",IF(N168&gt;='Резиденты — уровни'!$C$28,"B","C")))</f>
        <v/>
      </c>
      <c r="P168" s="38"/>
      <c r="Q168" s="29" t="str">
        <f aca="false">IF(P168&lt;&gt;"",P168,O168)</f>
        <v/>
      </c>
      <c r="R168" s="38"/>
      <c r="S168" s="38"/>
      <c r="T168" s="38"/>
      <c r="U168" s="45" t="str">
        <f aca="false">IF(OR(F168="",D168=""),"",IF(G168=2,SUMIFS('Матрица 2027'!$J$6:$J$53,'Матрица 2027'!$B$6:$B$53,F168,'Матрица 2027'!$C$6:$C$53,D168),SUMIFS('Матрица 2027'!$I$6:$I$53,'Матрица 2027'!$B$6:$B$53,F168,'Матрица 2027'!$C$6:$C$53,D168)))</f>
        <v/>
      </c>
      <c r="V168" s="38"/>
    </row>
    <row r="169" customFormat="false" ht="15" hidden="false" customHeight="false" outlineLevel="0" collapsed="false">
      <c r="B169" s="24" t="str">
        <f aca="false">IF(C169="","",ROW()-4)</f>
        <v/>
      </c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40"/>
      <c r="N169" s="52" t="str">
        <f aca="false">IF(COUNT(H169:M169)&lt;6,"",ROUND((H169*'Резиденты — уровни'!$C$19+I169*'Резиденты — уровни'!$C$20+J169*'Резиденты — уровни'!$C$21+K169*'Резиденты — уровни'!$C$22+L169*'Резиденты — уровни'!$C$23+M169*'Резиденты — уровни'!$C$24)/SUM('Резиденты — уровни'!$C$19:$C$24),2))</f>
        <v/>
      </c>
      <c r="O169" s="39" t="str">
        <f aca="false">IF(N169="","",IF(N169&gt;='Резиденты — уровни'!$C$27,"A",IF(N169&gt;='Резиденты — уровни'!$C$28,"B","C")))</f>
        <v/>
      </c>
      <c r="P169" s="38"/>
      <c r="Q169" s="29" t="str">
        <f aca="false">IF(P169&lt;&gt;"",P169,O169)</f>
        <v/>
      </c>
      <c r="R169" s="38"/>
      <c r="S169" s="38"/>
      <c r="T169" s="38"/>
      <c r="U169" s="45" t="str">
        <f aca="false">IF(OR(F169="",D169=""),"",IF(G169=2,SUMIFS('Матрица 2027'!$J$6:$J$53,'Матрица 2027'!$B$6:$B$53,F169,'Матрица 2027'!$C$6:$C$53,D169),SUMIFS('Матрица 2027'!$I$6:$I$53,'Матрица 2027'!$B$6:$B$53,F169,'Матрица 2027'!$C$6:$C$53,D169)))</f>
        <v/>
      </c>
      <c r="V169" s="38"/>
    </row>
    <row r="170" customFormat="false" ht="15" hidden="false" customHeight="false" outlineLevel="0" collapsed="false">
      <c r="B170" s="24" t="str">
        <f aca="false">IF(C170="","",ROW()-4)</f>
        <v/>
      </c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40"/>
      <c r="N170" s="52" t="str">
        <f aca="false">IF(COUNT(H170:M170)&lt;6,"",ROUND((H170*'Резиденты — уровни'!$C$19+I170*'Резиденты — уровни'!$C$20+J170*'Резиденты — уровни'!$C$21+K170*'Резиденты — уровни'!$C$22+L170*'Резиденты — уровни'!$C$23+M170*'Резиденты — уровни'!$C$24)/SUM('Резиденты — уровни'!$C$19:$C$24),2))</f>
        <v/>
      </c>
      <c r="O170" s="39" t="str">
        <f aca="false">IF(N170="","",IF(N170&gt;='Резиденты — уровни'!$C$27,"A",IF(N170&gt;='Резиденты — уровни'!$C$28,"B","C")))</f>
        <v/>
      </c>
      <c r="P170" s="38"/>
      <c r="Q170" s="29" t="str">
        <f aca="false">IF(P170&lt;&gt;"",P170,O170)</f>
        <v/>
      </c>
      <c r="R170" s="38"/>
      <c r="S170" s="38"/>
      <c r="T170" s="38"/>
      <c r="U170" s="45" t="str">
        <f aca="false">IF(OR(F170="",D170=""),"",IF(G170=2,SUMIFS('Матрица 2027'!$J$6:$J$53,'Матрица 2027'!$B$6:$B$53,F170,'Матрица 2027'!$C$6:$C$53,D170),SUMIFS('Матрица 2027'!$I$6:$I$53,'Матрица 2027'!$B$6:$B$53,F170,'Матрица 2027'!$C$6:$C$53,D170)))</f>
        <v/>
      </c>
      <c r="V170" s="38"/>
    </row>
    <row r="171" customFormat="false" ht="15" hidden="false" customHeight="false" outlineLevel="0" collapsed="false">
      <c r="B171" s="24" t="str">
        <f aca="false">IF(C171="","",ROW()-4)</f>
        <v/>
      </c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40"/>
      <c r="N171" s="52" t="str">
        <f aca="false">IF(COUNT(H171:M171)&lt;6,"",ROUND((H171*'Резиденты — уровни'!$C$19+I171*'Резиденты — уровни'!$C$20+J171*'Резиденты — уровни'!$C$21+K171*'Резиденты — уровни'!$C$22+L171*'Резиденты — уровни'!$C$23+M171*'Резиденты — уровни'!$C$24)/SUM('Резиденты — уровни'!$C$19:$C$24),2))</f>
        <v/>
      </c>
      <c r="O171" s="39" t="str">
        <f aca="false">IF(N171="","",IF(N171&gt;='Резиденты — уровни'!$C$27,"A",IF(N171&gt;='Резиденты — уровни'!$C$28,"B","C")))</f>
        <v/>
      </c>
      <c r="P171" s="38"/>
      <c r="Q171" s="29" t="str">
        <f aca="false">IF(P171&lt;&gt;"",P171,O171)</f>
        <v/>
      </c>
      <c r="R171" s="38"/>
      <c r="S171" s="38"/>
      <c r="T171" s="38"/>
      <c r="U171" s="45" t="str">
        <f aca="false">IF(OR(F171="",D171=""),"",IF(G171=2,SUMIFS('Матрица 2027'!$J$6:$J$53,'Матрица 2027'!$B$6:$B$53,F171,'Матрица 2027'!$C$6:$C$53,D171),SUMIFS('Матрица 2027'!$I$6:$I$53,'Матрица 2027'!$B$6:$B$53,F171,'Матрица 2027'!$C$6:$C$53,D171)))</f>
        <v/>
      </c>
      <c r="V171" s="38"/>
    </row>
    <row r="172" customFormat="false" ht="15" hidden="false" customHeight="false" outlineLevel="0" collapsed="false">
      <c r="B172" s="24" t="str">
        <f aca="false">IF(C172="","",ROW()-4)</f>
        <v/>
      </c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40"/>
      <c r="N172" s="52" t="str">
        <f aca="false">IF(COUNT(H172:M172)&lt;6,"",ROUND((H172*'Резиденты — уровни'!$C$19+I172*'Резиденты — уровни'!$C$20+J172*'Резиденты — уровни'!$C$21+K172*'Резиденты — уровни'!$C$22+L172*'Резиденты — уровни'!$C$23+M172*'Резиденты — уровни'!$C$24)/SUM('Резиденты — уровни'!$C$19:$C$24),2))</f>
        <v/>
      </c>
      <c r="O172" s="39" t="str">
        <f aca="false">IF(N172="","",IF(N172&gt;='Резиденты — уровни'!$C$27,"A",IF(N172&gt;='Резиденты — уровни'!$C$28,"B","C")))</f>
        <v/>
      </c>
      <c r="P172" s="38"/>
      <c r="Q172" s="29" t="str">
        <f aca="false">IF(P172&lt;&gt;"",P172,O172)</f>
        <v/>
      </c>
      <c r="R172" s="38"/>
      <c r="S172" s="38"/>
      <c r="T172" s="38"/>
      <c r="U172" s="45" t="str">
        <f aca="false">IF(OR(F172="",D172=""),"",IF(G172=2,SUMIFS('Матрица 2027'!$J$6:$J$53,'Матрица 2027'!$B$6:$B$53,F172,'Матрица 2027'!$C$6:$C$53,D172),SUMIFS('Матрица 2027'!$I$6:$I$53,'Матрица 2027'!$B$6:$B$53,F172,'Матрица 2027'!$C$6:$C$53,D172)))</f>
        <v/>
      </c>
      <c r="V172" s="38"/>
    </row>
    <row r="173" customFormat="false" ht="15" hidden="false" customHeight="false" outlineLevel="0" collapsed="false">
      <c r="B173" s="24" t="str">
        <f aca="false">IF(C173="","",ROW()-4)</f>
        <v/>
      </c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40"/>
      <c r="N173" s="52" t="str">
        <f aca="false">IF(COUNT(H173:M173)&lt;6,"",ROUND((H173*'Резиденты — уровни'!$C$19+I173*'Резиденты — уровни'!$C$20+J173*'Резиденты — уровни'!$C$21+K173*'Резиденты — уровни'!$C$22+L173*'Резиденты — уровни'!$C$23+M173*'Резиденты — уровни'!$C$24)/SUM('Резиденты — уровни'!$C$19:$C$24),2))</f>
        <v/>
      </c>
      <c r="O173" s="39" t="str">
        <f aca="false">IF(N173="","",IF(N173&gt;='Резиденты — уровни'!$C$27,"A",IF(N173&gt;='Резиденты — уровни'!$C$28,"B","C")))</f>
        <v/>
      </c>
      <c r="P173" s="38"/>
      <c r="Q173" s="29" t="str">
        <f aca="false">IF(P173&lt;&gt;"",P173,O173)</f>
        <v/>
      </c>
      <c r="R173" s="38"/>
      <c r="S173" s="38"/>
      <c r="T173" s="38"/>
      <c r="U173" s="45" t="str">
        <f aca="false">IF(OR(F173="",D173=""),"",IF(G173=2,SUMIFS('Матрица 2027'!$J$6:$J$53,'Матрица 2027'!$B$6:$B$53,F173,'Матрица 2027'!$C$6:$C$53,D173),SUMIFS('Матрица 2027'!$I$6:$I$53,'Матрица 2027'!$B$6:$B$53,F173,'Матрица 2027'!$C$6:$C$53,D173)))</f>
        <v/>
      </c>
      <c r="V173" s="38"/>
    </row>
    <row r="174" customFormat="false" ht="15" hidden="false" customHeight="false" outlineLevel="0" collapsed="false">
      <c r="B174" s="24" t="str">
        <f aca="false">IF(C174="","",ROW()-4)</f>
        <v/>
      </c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40"/>
      <c r="N174" s="52" t="str">
        <f aca="false">IF(COUNT(H174:M174)&lt;6,"",ROUND((H174*'Резиденты — уровни'!$C$19+I174*'Резиденты — уровни'!$C$20+J174*'Резиденты — уровни'!$C$21+K174*'Резиденты — уровни'!$C$22+L174*'Резиденты — уровни'!$C$23+M174*'Резиденты — уровни'!$C$24)/SUM('Резиденты — уровни'!$C$19:$C$24),2))</f>
        <v/>
      </c>
      <c r="O174" s="39" t="str">
        <f aca="false">IF(N174="","",IF(N174&gt;='Резиденты — уровни'!$C$27,"A",IF(N174&gt;='Резиденты — уровни'!$C$28,"B","C")))</f>
        <v/>
      </c>
      <c r="P174" s="38"/>
      <c r="Q174" s="29" t="str">
        <f aca="false">IF(P174&lt;&gt;"",P174,O174)</f>
        <v/>
      </c>
      <c r="R174" s="38"/>
      <c r="S174" s="38"/>
      <c r="T174" s="38"/>
      <c r="U174" s="45" t="str">
        <f aca="false">IF(OR(F174="",D174=""),"",IF(G174=2,SUMIFS('Матрица 2027'!$J$6:$J$53,'Матрица 2027'!$B$6:$B$53,F174,'Матрица 2027'!$C$6:$C$53,D174),SUMIFS('Матрица 2027'!$I$6:$I$53,'Матрица 2027'!$B$6:$B$53,F174,'Матрица 2027'!$C$6:$C$53,D174)))</f>
        <v/>
      </c>
      <c r="V174" s="38"/>
    </row>
    <row r="175" customFormat="false" ht="15" hidden="false" customHeight="false" outlineLevel="0" collapsed="false">
      <c r="B175" s="24" t="str">
        <f aca="false">IF(C175="","",ROW()-4)</f>
        <v/>
      </c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40"/>
      <c r="N175" s="52" t="str">
        <f aca="false">IF(COUNT(H175:M175)&lt;6,"",ROUND((H175*'Резиденты — уровни'!$C$19+I175*'Резиденты — уровни'!$C$20+J175*'Резиденты — уровни'!$C$21+K175*'Резиденты — уровни'!$C$22+L175*'Резиденты — уровни'!$C$23+M175*'Резиденты — уровни'!$C$24)/SUM('Резиденты — уровни'!$C$19:$C$24),2))</f>
        <v/>
      </c>
      <c r="O175" s="39" t="str">
        <f aca="false">IF(N175="","",IF(N175&gt;='Резиденты — уровни'!$C$27,"A",IF(N175&gt;='Резиденты — уровни'!$C$28,"B","C")))</f>
        <v/>
      </c>
      <c r="P175" s="38"/>
      <c r="Q175" s="29" t="str">
        <f aca="false">IF(P175&lt;&gt;"",P175,O175)</f>
        <v/>
      </c>
      <c r="R175" s="38"/>
      <c r="S175" s="38"/>
      <c r="T175" s="38"/>
      <c r="U175" s="45" t="str">
        <f aca="false">IF(OR(F175="",D175=""),"",IF(G175=2,SUMIFS('Матрица 2027'!$J$6:$J$53,'Матрица 2027'!$B$6:$B$53,F175,'Матрица 2027'!$C$6:$C$53,D175),SUMIFS('Матрица 2027'!$I$6:$I$53,'Матрица 2027'!$B$6:$B$53,F175,'Матрица 2027'!$C$6:$C$53,D175)))</f>
        <v/>
      </c>
      <c r="V175" s="38"/>
    </row>
    <row r="176" customFormat="false" ht="15" hidden="false" customHeight="false" outlineLevel="0" collapsed="false">
      <c r="B176" s="24" t="str">
        <f aca="false">IF(C176="","",ROW()-4)</f>
        <v/>
      </c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40"/>
      <c r="N176" s="52" t="str">
        <f aca="false">IF(COUNT(H176:M176)&lt;6,"",ROUND((H176*'Резиденты — уровни'!$C$19+I176*'Резиденты — уровни'!$C$20+J176*'Резиденты — уровни'!$C$21+K176*'Резиденты — уровни'!$C$22+L176*'Резиденты — уровни'!$C$23+M176*'Резиденты — уровни'!$C$24)/SUM('Резиденты — уровни'!$C$19:$C$24),2))</f>
        <v/>
      </c>
      <c r="O176" s="39" t="str">
        <f aca="false">IF(N176="","",IF(N176&gt;='Резиденты — уровни'!$C$27,"A",IF(N176&gt;='Резиденты — уровни'!$C$28,"B","C")))</f>
        <v/>
      </c>
      <c r="P176" s="38"/>
      <c r="Q176" s="29" t="str">
        <f aca="false">IF(P176&lt;&gt;"",P176,O176)</f>
        <v/>
      </c>
      <c r="R176" s="38"/>
      <c r="S176" s="38"/>
      <c r="T176" s="38"/>
      <c r="U176" s="45" t="str">
        <f aca="false">IF(OR(F176="",D176=""),"",IF(G176=2,SUMIFS('Матрица 2027'!$J$6:$J$53,'Матрица 2027'!$B$6:$B$53,F176,'Матрица 2027'!$C$6:$C$53,D176),SUMIFS('Матрица 2027'!$I$6:$I$53,'Матрица 2027'!$B$6:$B$53,F176,'Матрица 2027'!$C$6:$C$53,D176)))</f>
        <v/>
      </c>
      <c r="V176" s="38"/>
    </row>
    <row r="177" customFormat="false" ht="15" hidden="false" customHeight="false" outlineLevel="0" collapsed="false">
      <c r="B177" s="24" t="str">
        <f aca="false">IF(C177="","",ROW()-4)</f>
        <v/>
      </c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40"/>
      <c r="N177" s="52" t="str">
        <f aca="false">IF(COUNT(H177:M177)&lt;6,"",ROUND((H177*'Резиденты — уровни'!$C$19+I177*'Резиденты — уровни'!$C$20+J177*'Резиденты — уровни'!$C$21+K177*'Резиденты — уровни'!$C$22+L177*'Резиденты — уровни'!$C$23+M177*'Резиденты — уровни'!$C$24)/SUM('Резиденты — уровни'!$C$19:$C$24),2))</f>
        <v/>
      </c>
      <c r="O177" s="39" t="str">
        <f aca="false">IF(N177="","",IF(N177&gt;='Резиденты — уровни'!$C$27,"A",IF(N177&gt;='Резиденты — уровни'!$C$28,"B","C")))</f>
        <v/>
      </c>
      <c r="P177" s="38"/>
      <c r="Q177" s="29" t="str">
        <f aca="false">IF(P177&lt;&gt;"",P177,O177)</f>
        <v/>
      </c>
      <c r="R177" s="38"/>
      <c r="S177" s="38"/>
      <c r="T177" s="38"/>
      <c r="U177" s="45" t="str">
        <f aca="false">IF(OR(F177="",D177=""),"",IF(G177=2,SUMIFS('Матрица 2027'!$J$6:$J$53,'Матрица 2027'!$B$6:$B$53,F177,'Матрица 2027'!$C$6:$C$53,D177),SUMIFS('Матрица 2027'!$I$6:$I$53,'Матрица 2027'!$B$6:$B$53,F177,'Матрица 2027'!$C$6:$C$53,D177)))</f>
        <v/>
      </c>
      <c r="V177" s="38"/>
    </row>
    <row r="178" customFormat="false" ht="15" hidden="false" customHeight="false" outlineLevel="0" collapsed="false">
      <c r="B178" s="24" t="str">
        <f aca="false">IF(C178="","",ROW()-4)</f>
        <v/>
      </c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40"/>
      <c r="N178" s="52" t="str">
        <f aca="false">IF(COUNT(H178:M178)&lt;6,"",ROUND((H178*'Резиденты — уровни'!$C$19+I178*'Резиденты — уровни'!$C$20+J178*'Резиденты — уровни'!$C$21+K178*'Резиденты — уровни'!$C$22+L178*'Резиденты — уровни'!$C$23+M178*'Резиденты — уровни'!$C$24)/SUM('Резиденты — уровни'!$C$19:$C$24),2))</f>
        <v/>
      </c>
      <c r="O178" s="39" t="str">
        <f aca="false">IF(N178="","",IF(N178&gt;='Резиденты — уровни'!$C$27,"A",IF(N178&gt;='Резиденты — уровни'!$C$28,"B","C")))</f>
        <v/>
      </c>
      <c r="P178" s="38"/>
      <c r="Q178" s="29" t="str">
        <f aca="false">IF(P178&lt;&gt;"",P178,O178)</f>
        <v/>
      </c>
      <c r="R178" s="38"/>
      <c r="S178" s="38"/>
      <c r="T178" s="38"/>
      <c r="U178" s="45" t="str">
        <f aca="false">IF(OR(F178="",D178=""),"",IF(G178=2,SUMIFS('Матрица 2027'!$J$6:$J$53,'Матрица 2027'!$B$6:$B$53,F178,'Матрица 2027'!$C$6:$C$53,D178),SUMIFS('Матрица 2027'!$I$6:$I$53,'Матрица 2027'!$B$6:$B$53,F178,'Матрица 2027'!$C$6:$C$53,D178)))</f>
        <v/>
      </c>
      <c r="V178" s="38"/>
    </row>
    <row r="179" customFormat="false" ht="15" hidden="false" customHeight="false" outlineLevel="0" collapsed="false">
      <c r="B179" s="24" t="str">
        <f aca="false">IF(C179="","",ROW()-4)</f>
        <v/>
      </c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40"/>
      <c r="N179" s="52" t="str">
        <f aca="false">IF(COUNT(H179:M179)&lt;6,"",ROUND((H179*'Резиденты — уровни'!$C$19+I179*'Резиденты — уровни'!$C$20+J179*'Резиденты — уровни'!$C$21+K179*'Резиденты — уровни'!$C$22+L179*'Резиденты — уровни'!$C$23+M179*'Резиденты — уровни'!$C$24)/SUM('Резиденты — уровни'!$C$19:$C$24),2))</f>
        <v/>
      </c>
      <c r="O179" s="39" t="str">
        <f aca="false">IF(N179="","",IF(N179&gt;='Резиденты — уровни'!$C$27,"A",IF(N179&gt;='Резиденты — уровни'!$C$28,"B","C")))</f>
        <v/>
      </c>
      <c r="P179" s="38"/>
      <c r="Q179" s="29" t="str">
        <f aca="false">IF(P179&lt;&gt;"",P179,O179)</f>
        <v/>
      </c>
      <c r="R179" s="38"/>
      <c r="S179" s="38"/>
      <c r="T179" s="38"/>
      <c r="U179" s="45" t="str">
        <f aca="false">IF(OR(F179="",D179=""),"",IF(G179=2,SUMIFS('Матрица 2027'!$J$6:$J$53,'Матрица 2027'!$B$6:$B$53,F179,'Матрица 2027'!$C$6:$C$53,D179),SUMIFS('Матрица 2027'!$I$6:$I$53,'Матрица 2027'!$B$6:$B$53,F179,'Матрица 2027'!$C$6:$C$53,D179)))</f>
        <v/>
      </c>
      <c r="V179" s="38"/>
    </row>
    <row r="180" customFormat="false" ht="15" hidden="false" customHeight="false" outlineLevel="0" collapsed="false">
      <c r="B180" s="24" t="str">
        <f aca="false">IF(C180="","",ROW()-4)</f>
        <v/>
      </c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40"/>
      <c r="N180" s="52" t="str">
        <f aca="false">IF(COUNT(H180:M180)&lt;6,"",ROUND((H180*'Резиденты — уровни'!$C$19+I180*'Резиденты — уровни'!$C$20+J180*'Резиденты — уровни'!$C$21+K180*'Резиденты — уровни'!$C$22+L180*'Резиденты — уровни'!$C$23+M180*'Резиденты — уровни'!$C$24)/SUM('Резиденты — уровни'!$C$19:$C$24),2))</f>
        <v/>
      </c>
      <c r="O180" s="39" t="str">
        <f aca="false">IF(N180="","",IF(N180&gt;='Резиденты — уровни'!$C$27,"A",IF(N180&gt;='Резиденты — уровни'!$C$28,"B","C")))</f>
        <v/>
      </c>
      <c r="P180" s="38"/>
      <c r="Q180" s="29" t="str">
        <f aca="false">IF(P180&lt;&gt;"",P180,O180)</f>
        <v/>
      </c>
      <c r="R180" s="38"/>
      <c r="S180" s="38"/>
      <c r="T180" s="38"/>
      <c r="U180" s="45" t="str">
        <f aca="false">IF(OR(F180="",D180=""),"",IF(G180=2,SUMIFS('Матрица 2027'!$J$6:$J$53,'Матрица 2027'!$B$6:$B$53,F180,'Матрица 2027'!$C$6:$C$53,D180),SUMIFS('Матрица 2027'!$I$6:$I$53,'Матрица 2027'!$B$6:$B$53,F180,'Матрица 2027'!$C$6:$C$53,D180)))</f>
        <v/>
      </c>
      <c r="V180" s="38"/>
    </row>
    <row r="181" customFormat="false" ht="15" hidden="false" customHeight="false" outlineLevel="0" collapsed="false">
      <c r="B181" s="24" t="str">
        <f aca="false">IF(C181="","",ROW()-4)</f>
        <v/>
      </c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40"/>
      <c r="N181" s="52" t="str">
        <f aca="false">IF(COUNT(H181:M181)&lt;6,"",ROUND((H181*'Резиденты — уровни'!$C$19+I181*'Резиденты — уровни'!$C$20+J181*'Резиденты — уровни'!$C$21+K181*'Резиденты — уровни'!$C$22+L181*'Резиденты — уровни'!$C$23+M181*'Резиденты — уровни'!$C$24)/SUM('Резиденты — уровни'!$C$19:$C$24),2))</f>
        <v/>
      </c>
      <c r="O181" s="39" t="str">
        <f aca="false">IF(N181="","",IF(N181&gt;='Резиденты — уровни'!$C$27,"A",IF(N181&gt;='Резиденты — уровни'!$C$28,"B","C")))</f>
        <v/>
      </c>
      <c r="P181" s="38"/>
      <c r="Q181" s="29" t="str">
        <f aca="false">IF(P181&lt;&gt;"",P181,O181)</f>
        <v/>
      </c>
      <c r="R181" s="38"/>
      <c r="S181" s="38"/>
      <c r="T181" s="38"/>
      <c r="U181" s="45" t="str">
        <f aca="false">IF(OR(F181="",D181=""),"",IF(G181=2,SUMIFS('Матрица 2027'!$J$6:$J$53,'Матрица 2027'!$B$6:$B$53,F181,'Матрица 2027'!$C$6:$C$53,D181),SUMIFS('Матрица 2027'!$I$6:$I$53,'Матрица 2027'!$B$6:$B$53,F181,'Матрица 2027'!$C$6:$C$53,D181)))</f>
        <v/>
      </c>
      <c r="V181" s="38"/>
    </row>
    <row r="182" customFormat="false" ht="15" hidden="false" customHeight="false" outlineLevel="0" collapsed="false">
      <c r="B182" s="24" t="str">
        <f aca="false">IF(C182="","",ROW()-4)</f>
        <v/>
      </c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40"/>
      <c r="N182" s="52" t="str">
        <f aca="false">IF(COUNT(H182:M182)&lt;6,"",ROUND((H182*'Резиденты — уровни'!$C$19+I182*'Резиденты — уровни'!$C$20+J182*'Резиденты — уровни'!$C$21+K182*'Резиденты — уровни'!$C$22+L182*'Резиденты — уровни'!$C$23+M182*'Резиденты — уровни'!$C$24)/SUM('Резиденты — уровни'!$C$19:$C$24),2))</f>
        <v/>
      </c>
      <c r="O182" s="39" t="str">
        <f aca="false">IF(N182="","",IF(N182&gt;='Резиденты — уровни'!$C$27,"A",IF(N182&gt;='Резиденты — уровни'!$C$28,"B","C")))</f>
        <v/>
      </c>
      <c r="P182" s="38"/>
      <c r="Q182" s="29" t="str">
        <f aca="false">IF(P182&lt;&gt;"",P182,O182)</f>
        <v/>
      </c>
      <c r="R182" s="38"/>
      <c r="S182" s="38"/>
      <c r="T182" s="38"/>
      <c r="U182" s="45" t="str">
        <f aca="false">IF(OR(F182="",D182=""),"",IF(G182=2,SUMIFS('Матрица 2027'!$J$6:$J$53,'Матрица 2027'!$B$6:$B$53,F182,'Матрица 2027'!$C$6:$C$53,D182),SUMIFS('Матрица 2027'!$I$6:$I$53,'Матрица 2027'!$B$6:$B$53,F182,'Матрица 2027'!$C$6:$C$53,D182)))</f>
        <v/>
      </c>
      <c r="V182" s="38"/>
    </row>
    <row r="183" customFormat="false" ht="15" hidden="false" customHeight="false" outlineLevel="0" collapsed="false">
      <c r="B183" s="24" t="str">
        <f aca="false">IF(C183="","",ROW()-4)</f>
        <v/>
      </c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40"/>
      <c r="N183" s="52" t="str">
        <f aca="false">IF(COUNT(H183:M183)&lt;6,"",ROUND((H183*'Резиденты — уровни'!$C$19+I183*'Резиденты — уровни'!$C$20+J183*'Резиденты — уровни'!$C$21+K183*'Резиденты — уровни'!$C$22+L183*'Резиденты — уровни'!$C$23+M183*'Резиденты — уровни'!$C$24)/SUM('Резиденты — уровни'!$C$19:$C$24),2))</f>
        <v/>
      </c>
      <c r="O183" s="39" t="str">
        <f aca="false">IF(N183="","",IF(N183&gt;='Резиденты — уровни'!$C$27,"A",IF(N183&gt;='Резиденты — уровни'!$C$28,"B","C")))</f>
        <v/>
      </c>
      <c r="P183" s="38"/>
      <c r="Q183" s="29" t="str">
        <f aca="false">IF(P183&lt;&gt;"",P183,O183)</f>
        <v/>
      </c>
      <c r="R183" s="38"/>
      <c r="S183" s="38"/>
      <c r="T183" s="38"/>
      <c r="U183" s="45" t="str">
        <f aca="false">IF(OR(F183="",D183=""),"",IF(G183=2,SUMIFS('Матрица 2027'!$J$6:$J$53,'Матрица 2027'!$B$6:$B$53,F183,'Матрица 2027'!$C$6:$C$53,D183),SUMIFS('Матрица 2027'!$I$6:$I$53,'Матрица 2027'!$B$6:$B$53,F183,'Матрица 2027'!$C$6:$C$53,D183)))</f>
        <v/>
      </c>
      <c r="V183" s="38"/>
    </row>
    <row r="184" customFormat="false" ht="15" hidden="false" customHeight="false" outlineLevel="0" collapsed="false">
      <c r="B184" s="24" t="str">
        <f aca="false">IF(C184="","",ROW()-4)</f>
        <v/>
      </c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40"/>
      <c r="N184" s="52" t="str">
        <f aca="false">IF(COUNT(H184:M184)&lt;6,"",ROUND((H184*'Резиденты — уровни'!$C$19+I184*'Резиденты — уровни'!$C$20+J184*'Резиденты — уровни'!$C$21+K184*'Резиденты — уровни'!$C$22+L184*'Резиденты — уровни'!$C$23+M184*'Резиденты — уровни'!$C$24)/SUM('Резиденты — уровни'!$C$19:$C$24),2))</f>
        <v/>
      </c>
      <c r="O184" s="39" t="str">
        <f aca="false">IF(N184="","",IF(N184&gt;='Резиденты — уровни'!$C$27,"A",IF(N184&gt;='Резиденты — уровни'!$C$28,"B","C")))</f>
        <v/>
      </c>
      <c r="P184" s="38"/>
      <c r="Q184" s="29" t="str">
        <f aca="false">IF(P184&lt;&gt;"",P184,O184)</f>
        <v/>
      </c>
      <c r="R184" s="38"/>
      <c r="S184" s="38"/>
      <c r="T184" s="38"/>
      <c r="U184" s="45" t="str">
        <f aca="false">IF(OR(F184="",D184=""),"",IF(G184=2,SUMIFS('Матрица 2027'!$J$6:$J$53,'Матрица 2027'!$B$6:$B$53,F184,'Матрица 2027'!$C$6:$C$53,D184),SUMIFS('Матрица 2027'!$I$6:$I$53,'Матрица 2027'!$B$6:$B$53,F184,'Матрица 2027'!$C$6:$C$53,D184)))</f>
        <v/>
      </c>
      <c r="V184" s="38"/>
    </row>
    <row r="185" customFormat="false" ht="15" hidden="false" customHeight="false" outlineLevel="0" collapsed="false">
      <c r="B185" s="24" t="str">
        <f aca="false">IF(C185="","",ROW()-4)</f>
        <v/>
      </c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40"/>
      <c r="N185" s="52" t="str">
        <f aca="false">IF(COUNT(H185:M185)&lt;6,"",ROUND((H185*'Резиденты — уровни'!$C$19+I185*'Резиденты — уровни'!$C$20+J185*'Резиденты — уровни'!$C$21+K185*'Резиденты — уровни'!$C$22+L185*'Резиденты — уровни'!$C$23+M185*'Резиденты — уровни'!$C$24)/SUM('Резиденты — уровни'!$C$19:$C$24),2))</f>
        <v/>
      </c>
      <c r="O185" s="39" t="str">
        <f aca="false">IF(N185="","",IF(N185&gt;='Резиденты — уровни'!$C$27,"A",IF(N185&gt;='Резиденты — уровни'!$C$28,"B","C")))</f>
        <v/>
      </c>
      <c r="P185" s="38"/>
      <c r="Q185" s="29" t="str">
        <f aca="false">IF(P185&lt;&gt;"",P185,O185)</f>
        <v/>
      </c>
      <c r="R185" s="38"/>
      <c r="S185" s="38"/>
      <c r="T185" s="38"/>
      <c r="U185" s="45" t="str">
        <f aca="false">IF(OR(F185="",D185=""),"",IF(G185=2,SUMIFS('Матрица 2027'!$J$6:$J$53,'Матрица 2027'!$B$6:$B$53,F185,'Матрица 2027'!$C$6:$C$53,D185),SUMIFS('Матрица 2027'!$I$6:$I$53,'Матрица 2027'!$B$6:$B$53,F185,'Матрица 2027'!$C$6:$C$53,D185)))</f>
        <v/>
      </c>
      <c r="V185" s="38"/>
    </row>
    <row r="186" customFormat="false" ht="15" hidden="false" customHeight="false" outlineLevel="0" collapsed="false">
      <c r="B186" s="24" t="str">
        <f aca="false">IF(C186="","",ROW()-4)</f>
        <v/>
      </c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40"/>
      <c r="N186" s="52" t="str">
        <f aca="false">IF(COUNT(H186:M186)&lt;6,"",ROUND((H186*'Резиденты — уровни'!$C$19+I186*'Резиденты — уровни'!$C$20+J186*'Резиденты — уровни'!$C$21+K186*'Резиденты — уровни'!$C$22+L186*'Резиденты — уровни'!$C$23+M186*'Резиденты — уровни'!$C$24)/SUM('Резиденты — уровни'!$C$19:$C$24),2))</f>
        <v/>
      </c>
      <c r="O186" s="39" t="str">
        <f aca="false">IF(N186="","",IF(N186&gt;='Резиденты — уровни'!$C$27,"A",IF(N186&gt;='Резиденты — уровни'!$C$28,"B","C")))</f>
        <v/>
      </c>
      <c r="P186" s="38"/>
      <c r="Q186" s="29" t="str">
        <f aca="false">IF(P186&lt;&gt;"",P186,O186)</f>
        <v/>
      </c>
      <c r="R186" s="38"/>
      <c r="S186" s="38"/>
      <c r="T186" s="38"/>
      <c r="U186" s="45" t="str">
        <f aca="false">IF(OR(F186="",D186=""),"",IF(G186=2,SUMIFS('Матрица 2027'!$J$6:$J$53,'Матрица 2027'!$B$6:$B$53,F186,'Матрица 2027'!$C$6:$C$53,D186),SUMIFS('Матрица 2027'!$I$6:$I$53,'Матрица 2027'!$B$6:$B$53,F186,'Матрица 2027'!$C$6:$C$53,D186)))</f>
        <v/>
      </c>
      <c r="V186" s="38"/>
    </row>
    <row r="187" customFormat="false" ht="15" hidden="false" customHeight="false" outlineLevel="0" collapsed="false">
      <c r="B187" s="24" t="str">
        <f aca="false">IF(C187="","",ROW()-4)</f>
        <v/>
      </c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40"/>
      <c r="N187" s="52" t="str">
        <f aca="false">IF(COUNT(H187:M187)&lt;6,"",ROUND((H187*'Резиденты — уровни'!$C$19+I187*'Резиденты — уровни'!$C$20+J187*'Резиденты — уровни'!$C$21+K187*'Резиденты — уровни'!$C$22+L187*'Резиденты — уровни'!$C$23+M187*'Резиденты — уровни'!$C$24)/SUM('Резиденты — уровни'!$C$19:$C$24),2))</f>
        <v/>
      </c>
      <c r="O187" s="39" t="str">
        <f aca="false">IF(N187="","",IF(N187&gt;='Резиденты — уровни'!$C$27,"A",IF(N187&gt;='Резиденты — уровни'!$C$28,"B","C")))</f>
        <v/>
      </c>
      <c r="P187" s="38"/>
      <c r="Q187" s="29" t="str">
        <f aca="false">IF(P187&lt;&gt;"",P187,O187)</f>
        <v/>
      </c>
      <c r="R187" s="38"/>
      <c r="S187" s="38"/>
      <c r="T187" s="38"/>
      <c r="U187" s="45" t="str">
        <f aca="false">IF(OR(F187="",D187=""),"",IF(G187=2,SUMIFS('Матрица 2027'!$J$6:$J$53,'Матрица 2027'!$B$6:$B$53,F187,'Матрица 2027'!$C$6:$C$53,D187),SUMIFS('Матрица 2027'!$I$6:$I$53,'Матрица 2027'!$B$6:$B$53,F187,'Матрица 2027'!$C$6:$C$53,D187)))</f>
        <v/>
      </c>
      <c r="V187" s="38"/>
    </row>
    <row r="188" customFormat="false" ht="15" hidden="false" customHeight="false" outlineLevel="0" collapsed="false">
      <c r="B188" s="24" t="str">
        <f aca="false">IF(C188="","",ROW()-4)</f>
        <v/>
      </c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40"/>
      <c r="N188" s="52" t="str">
        <f aca="false">IF(COUNT(H188:M188)&lt;6,"",ROUND((H188*'Резиденты — уровни'!$C$19+I188*'Резиденты — уровни'!$C$20+J188*'Резиденты — уровни'!$C$21+K188*'Резиденты — уровни'!$C$22+L188*'Резиденты — уровни'!$C$23+M188*'Резиденты — уровни'!$C$24)/SUM('Резиденты — уровни'!$C$19:$C$24),2))</f>
        <v/>
      </c>
      <c r="O188" s="39" t="str">
        <f aca="false">IF(N188="","",IF(N188&gt;='Резиденты — уровни'!$C$27,"A",IF(N188&gt;='Резиденты — уровни'!$C$28,"B","C")))</f>
        <v/>
      </c>
      <c r="P188" s="38"/>
      <c r="Q188" s="29" t="str">
        <f aca="false">IF(P188&lt;&gt;"",P188,O188)</f>
        <v/>
      </c>
      <c r="R188" s="38"/>
      <c r="S188" s="38"/>
      <c r="T188" s="38"/>
      <c r="U188" s="45" t="str">
        <f aca="false">IF(OR(F188="",D188=""),"",IF(G188=2,SUMIFS('Матрица 2027'!$J$6:$J$53,'Матрица 2027'!$B$6:$B$53,F188,'Матрица 2027'!$C$6:$C$53,D188),SUMIFS('Матрица 2027'!$I$6:$I$53,'Матрица 2027'!$B$6:$B$53,F188,'Матрица 2027'!$C$6:$C$53,D188)))</f>
        <v/>
      </c>
      <c r="V188" s="38"/>
    </row>
    <row r="189" customFormat="false" ht="15" hidden="false" customHeight="false" outlineLevel="0" collapsed="false">
      <c r="B189" s="24" t="str">
        <f aca="false">IF(C189="","",ROW()-4)</f>
        <v/>
      </c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40"/>
      <c r="N189" s="52" t="str">
        <f aca="false">IF(COUNT(H189:M189)&lt;6,"",ROUND((H189*'Резиденты — уровни'!$C$19+I189*'Резиденты — уровни'!$C$20+J189*'Резиденты — уровни'!$C$21+K189*'Резиденты — уровни'!$C$22+L189*'Резиденты — уровни'!$C$23+M189*'Резиденты — уровни'!$C$24)/SUM('Резиденты — уровни'!$C$19:$C$24),2))</f>
        <v/>
      </c>
      <c r="O189" s="39" t="str">
        <f aca="false">IF(N189="","",IF(N189&gt;='Резиденты — уровни'!$C$27,"A",IF(N189&gt;='Резиденты — уровни'!$C$28,"B","C")))</f>
        <v/>
      </c>
      <c r="P189" s="38"/>
      <c r="Q189" s="29" t="str">
        <f aca="false">IF(P189&lt;&gt;"",P189,O189)</f>
        <v/>
      </c>
      <c r="R189" s="38"/>
      <c r="S189" s="38"/>
      <c r="T189" s="38"/>
      <c r="U189" s="45" t="str">
        <f aca="false">IF(OR(F189="",D189=""),"",IF(G189=2,SUMIFS('Матрица 2027'!$J$6:$J$53,'Матрица 2027'!$B$6:$B$53,F189,'Матрица 2027'!$C$6:$C$53,D189),SUMIFS('Матрица 2027'!$I$6:$I$53,'Матрица 2027'!$B$6:$B$53,F189,'Матрица 2027'!$C$6:$C$53,D189)))</f>
        <v/>
      </c>
      <c r="V189" s="38"/>
    </row>
    <row r="190" customFormat="false" ht="15" hidden="false" customHeight="false" outlineLevel="0" collapsed="false">
      <c r="B190" s="24" t="str">
        <f aca="false">IF(C190="","",ROW()-4)</f>
        <v/>
      </c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40"/>
      <c r="N190" s="52" t="str">
        <f aca="false">IF(COUNT(H190:M190)&lt;6,"",ROUND((H190*'Резиденты — уровни'!$C$19+I190*'Резиденты — уровни'!$C$20+J190*'Резиденты — уровни'!$C$21+K190*'Резиденты — уровни'!$C$22+L190*'Резиденты — уровни'!$C$23+M190*'Резиденты — уровни'!$C$24)/SUM('Резиденты — уровни'!$C$19:$C$24),2))</f>
        <v/>
      </c>
      <c r="O190" s="39" t="str">
        <f aca="false">IF(N190="","",IF(N190&gt;='Резиденты — уровни'!$C$27,"A",IF(N190&gt;='Резиденты — уровни'!$C$28,"B","C")))</f>
        <v/>
      </c>
      <c r="P190" s="38"/>
      <c r="Q190" s="29" t="str">
        <f aca="false">IF(P190&lt;&gt;"",P190,O190)</f>
        <v/>
      </c>
      <c r="R190" s="38"/>
      <c r="S190" s="38"/>
      <c r="T190" s="38"/>
      <c r="U190" s="45" t="str">
        <f aca="false">IF(OR(F190="",D190=""),"",IF(G190=2,SUMIFS('Матрица 2027'!$J$6:$J$53,'Матрица 2027'!$B$6:$B$53,F190,'Матрица 2027'!$C$6:$C$53,D190),SUMIFS('Матрица 2027'!$I$6:$I$53,'Матрица 2027'!$B$6:$B$53,F190,'Матрица 2027'!$C$6:$C$53,D190)))</f>
        <v/>
      </c>
      <c r="V190" s="38"/>
    </row>
    <row r="191" customFormat="false" ht="15" hidden="false" customHeight="false" outlineLevel="0" collapsed="false">
      <c r="B191" s="24" t="str">
        <f aca="false">IF(C191="","",ROW()-4)</f>
        <v/>
      </c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40"/>
      <c r="N191" s="52" t="str">
        <f aca="false">IF(COUNT(H191:M191)&lt;6,"",ROUND((H191*'Резиденты — уровни'!$C$19+I191*'Резиденты — уровни'!$C$20+J191*'Резиденты — уровни'!$C$21+K191*'Резиденты — уровни'!$C$22+L191*'Резиденты — уровни'!$C$23+M191*'Резиденты — уровни'!$C$24)/SUM('Резиденты — уровни'!$C$19:$C$24),2))</f>
        <v/>
      </c>
      <c r="O191" s="39" t="str">
        <f aca="false">IF(N191="","",IF(N191&gt;='Резиденты — уровни'!$C$27,"A",IF(N191&gt;='Резиденты — уровни'!$C$28,"B","C")))</f>
        <v/>
      </c>
      <c r="P191" s="38"/>
      <c r="Q191" s="29" t="str">
        <f aca="false">IF(P191&lt;&gt;"",P191,O191)</f>
        <v/>
      </c>
      <c r="R191" s="38"/>
      <c r="S191" s="38"/>
      <c r="T191" s="38"/>
      <c r="U191" s="45" t="str">
        <f aca="false">IF(OR(F191="",D191=""),"",IF(G191=2,SUMIFS('Матрица 2027'!$J$6:$J$53,'Матрица 2027'!$B$6:$B$53,F191,'Матрица 2027'!$C$6:$C$53,D191),SUMIFS('Матрица 2027'!$I$6:$I$53,'Матрица 2027'!$B$6:$B$53,F191,'Матрица 2027'!$C$6:$C$53,D191)))</f>
        <v/>
      </c>
      <c r="V191" s="38"/>
    </row>
    <row r="192" customFormat="false" ht="15" hidden="false" customHeight="false" outlineLevel="0" collapsed="false">
      <c r="B192" s="24" t="str">
        <f aca="false">IF(C192="","",ROW()-4)</f>
        <v/>
      </c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40"/>
      <c r="N192" s="52" t="str">
        <f aca="false">IF(COUNT(H192:M192)&lt;6,"",ROUND((H192*'Резиденты — уровни'!$C$19+I192*'Резиденты — уровни'!$C$20+J192*'Резиденты — уровни'!$C$21+K192*'Резиденты — уровни'!$C$22+L192*'Резиденты — уровни'!$C$23+M192*'Резиденты — уровни'!$C$24)/SUM('Резиденты — уровни'!$C$19:$C$24),2))</f>
        <v/>
      </c>
      <c r="O192" s="39" t="str">
        <f aca="false">IF(N192="","",IF(N192&gt;='Резиденты — уровни'!$C$27,"A",IF(N192&gt;='Резиденты — уровни'!$C$28,"B","C")))</f>
        <v/>
      </c>
      <c r="P192" s="38"/>
      <c r="Q192" s="29" t="str">
        <f aca="false">IF(P192&lt;&gt;"",P192,O192)</f>
        <v/>
      </c>
      <c r="R192" s="38"/>
      <c r="S192" s="38"/>
      <c r="T192" s="38"/>
      <c r="U192" s="45" t="str">
        <f aca="false">IF(OR(F192="",D192=""),"",IF(G192=2,SUMIFS('Матрица 2027'!$J$6:$J$53,'Матрица 2027'!$B$6:$B$53,F192,'Матрица 2027'!$C$6:$C$53,D192),SUMIFS('Матрица 2027'!$I$6:$I$53,'Матрица 2027'!$B$6:$B$53,F192,'Матрица 2027'!$C$6:$C$53,D192)))</f>
        <v/>
      </c>
      <c r="V192" s="38"/>
    </row>
    <row r="193" customFormat="false" ht="15" hidden="false" customHeight="false" outlineLevel="0" collapsed="false">
      <c r="B193" s="24" t="str">
        <f aca="false">IF(C193="","",ROW()-4)</f>
        <v/>
      </c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40"/>
      <c r="N193" s="52" t="str">
        <f aca="false">IF(COUNT(H193:M193)&lt;6,"",ROUND((H193*'Резиденты — уровни'!$C$19+I193*'Резиденты — уровни'!$C$20+J193*'Резиденты — уровни'!$C$21+K193*'Резиденты — уровни'!$C$22+L193*'Резиденты — уровни'!$C$23+M193*'Резиденты — уровни'!$C$24)/SUM('Резиденты — уровни'!$C$19:$C$24),2))</f>
        <v/>
      </c>
      <c r="O193" s="39" t="str">
        <f aca="false">IF(N193="","",IF(N193&gt;='Резиденты — уровни'!$C$27,"A",IF(N193&gt;='Резиденты — уровни'!$C$28,"B","C")))</f>
        <v/>
      </c>
      <c r="P193" s="38"/>
      <c r="Q193" s="29" t="str">
        <f aca="false">IF(P193&lt;&gt;"",P193,O193)</f>
        <v/>
      </c>
      <c r="R193" s="38"/>
      <c r="S193" s="38"/>
      <c r="T193" s="38"/>
      <c r="U193" s="45" t="str">
        <f aca="false">IF(OR(F193="",D193=""),"",IF(G193=2,SUMIFS('Матрица 2027'!$J$6:$J$53,'Матрица 2027'!$B$6:$B$53,F193,'Матрица 2027'!$C$6:$C$53,D193),SUMIFS('Матрица 2027'!$I$6:$I$53,'Матрица 2027'!$B$6:$B$53,F193,'Матрица 2027'!$C$6:$C$53,D193)))</f>
        <v/>
      </c>
      <c r="V193" s="38"/>
    </row>
    <row r="194" customFormat="false" ht="15" hidden="false" customHeight="false" outlineLevel="0" collapsed="false">
      <c r="B194" s="24" t="str">
        <f aca="false">IF(C194="","",ROW()-4)</f>
        <v/>
      </c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40"/>
      <c r="N194" s="52" t="str">
        <f aca="false">IF(COUNT(H194:M194)&lt;6,"",ROUND((H194*'Резиденты — уровни'!$C$19+I194*'Резиденты — уровни'!$C$20+J194*'Резиденты — уровни'!$C$21+K194*'Резиденты — уровни'!$C$22+L194*'Резиденты — уровни'!$C$23+M194*'Резиденты — уровни'!$C$24)/SUM('Резиденты — уровни'!$C$19:$C$24),2))</f>
        <v/>
      </c>
      <c r="O194" s="39" t="str">
        <f aca="false">IF(N194="","",IF(N194&gt;='Резиденты — уровни'!$C$27,"A",IF(N194&gt;='Резиденты — уровни'!$C$28,"B","C")))</f>
        <v/>
      </c>
      <c r="P194" s="38"/>
      <c r="Q194" s="29" t="str">
        <f aca="false">IF(P194&lt;&gt;"",P194,O194)</f>
        <v/>
      </c>
      <c r="R194" s="38"/>
      <c r="S194" s="38"/>
      <c r="T194" s="38"/>
      <c r="U194" s="45" t="str">
        <f aca="false">IF(OR(F194="",D194=""),"",IF(G194=2,SUMIFS('Матрица 2027'!$J$6:$J$53,'Матрица 2027'!$B$6:$B$53,F194,'Матрица 2027'!$C$6:$C$53,D194),SUMIFS('Матрица 2027'!$I$6:$I$53,'Матрица 2027'!$B$6:$B$53,F194,'Матрица 2027'!$C$6:$C$53,D194)))</f>
        <v/>
      </c>
      <c r="V194" s="38"/>
    </row>
    <row r="195" customFormat="false" ht="15" hidden="false" customHeight="false" outlineLevel="0" collapsed="false">
      <c r="B195" s="24" t="str">
        <f aca="false">IF(C195="","",ROW()-4)</f>
        <v/>
      </c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40"/>
      <c r="N195" s="52" t="str">
        <f aca="false">IF(COUNT(H195:M195)&lt;6,"",ROUND((H195*'Резиденты — уровни'!$C$19+I195*'Резиденты — уровни'!$C$20+J195*'Резиденты — уровни'!$C$21+K195*'Резиденты — уровни'!$C$22+L195*'Резиденты — уровни'!$C$23+M195*'Резиденты — уровни'!$C$24)/SUM('Резиденты — уровни'!$C$19:$C$24),2))</f>
        <v/>
      </c>
      <c r="O195" s="39" t="str">
        <f aca="false">IF(N195="","",IF(N195&gt;='Резиденты — уровни'!$C$27,"A",IF(N195&gt;='Резиденты — уровни'!$C$28,"B","C")))</f>
        <v/>
      </c>
      <c r="P195" s="38"/>
      <c r="Q195" s="29" t="str">
        <f aca="false">IF(P195&lt;&gt;"",P195,O195)</f>
        <v/>
      </c>
      <c r="R195" s="38"/>
      <c r="S195" s="38"/>
      <c r="T195" s="38"/>
      <c r="U195" s="45" t="str">
        <f aca="false">IF(OR(F195="",D195=""),"",IF(G195=2,SUMIFS('Матрица 2027'!$J$6:$J$53,'Матрица 2027'!$B$6:$B$53,F195,'Матрица 2027'!$C$6:$C$53,D195),SUMIFS('Матрица 2027'!$I$6:$I$53,'Матрица 2027'!$B$6:$B$53,F195,'Матрица 2027'!$C$6:$C$53,D195)))</f>
        <v/>
      </c>
      <c r="V195" s="38"/>
    </row>
    <row r="196" customFormat="false" ht="15" hidden="false" customHeight="false" outlineLevel="0" collapsed="false">
      <c r="B196" s="24" t="str">
        <f aca="false">IF(C196="","",ROW()-4)</f>
        <v/>
      </c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40"/>
      <c r="N196" s="52" t="str">
        <f aca="false">IF(COUNT(H196:M196)&lt;6,"",ROUND((H196*'Резиденты — уровни'!$C$19+I196*'Резиденты — уровни'!$C$20+J196*'Резиденты — уровни'!$C$21+K196*'Резиденты — уровни'!$C$22+L196*'Резиденты — уровни'!$C$23+M196*'Резиденты — уровни'!$C$24)/SUM('Резиденты — уровни'!$C$19:$C$24),2))</f>
        <v/>
      </c>
      <c r="O196" s="39" t="str">
        <f aca="false">IF(N196="","",IF(N196&gt;='Резиденты — уровни'!$C$27,"A",IF(N196&gt;='Резиденты — уровни'!$C$28,"B","C")))</f>
        <v/>
      </c>
      <c r="P196" s="38"/>
      <c r="Q196" s="29" t="str">
        <f aca="false">IF(P196&lt;&gt;"",P196,O196)</f>
        <v/>
      </c>
      <c r="R196" s="38"/>
      <c r="S196" s="38"/>
      <c r="T196" s="38"/>
      <c r="U196" s="45" t="str">
        <f aca="false">IF(OR(F196="",D196=""),"",IF(G196=2,SUMIFS('Матрица 2027'!$J$6:$J$53,'Матрица 2027'!$B$6:$B$53,F196,'Матрица 2027'!$C$6:$C$53,D196),SUMIFS('Матрица 2027'!$I$6:$I$53,'Матрица 2027'!$B$6:$B$53,F196,'Матрица 2027'!$C$6:$C$53,D196)))</f>
        <v/>
      </c>
      <c r="V196" s="38"/>
    </row>
    <row r="197" customFormat="false" ht="15" hidden="false" customHeight="false" outlineLevel="0" collapsed="false">
      <c r="B197" s="24" t="str">
        <f aca="false">IF(C197="","",ROW()-4)</f>
        <v/>
      </c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40"/>
      <c r="N197" s="52" t="str">
        <f aca="false">IF(COUNT(H197:M197)&lt;6,"",ROUND((H197*'Резиденты — уровни'!$C$19+I197*'Резиденты — уровни'!$C$20+J197*'Резиденты — уровни'!$C$21+K197*'Резиденты — уровни'!$C$22+L197*'Резиденты — уровни'!$C$23+M197*'Резиденты — уровни'!$C$24)/SUM('Резиденты — уровни'!$C$19:$C$24),2))</f>
        <v/>
      </c>
      <c r="O197" s="39" t="str">
        <f aca="false">IF(N197="","",IF(N197&gt;='Резиденты — уровни'!$C$27,"A",IF(N197&gt;='Резиденты — уровни'!$C$28,"B","C")))</f>
        <v/>
      </c>
      <c r="P197" s="38"/>
      <c r="Q197" s="29" t="str">
        <f aca="false">IF(P197&lt;&gt;"",P197,O197)</f>
        <v/>
      </c>
      <c r="R197" s="38"/>
      <c r="S197" s="38"/>
      <c r="T197" s="38"/>
      <c r="U197" s="45" t="str">
        <f aca="false">IF(OR(F197="",D197=""),"",IF(G197=2,SUMIFS('Матрица 2027'!$J$6:$J$53,'Матрица 2027'!$B$6:$B$53,F197,'Матрица 2027'!$C$6:$C$53,D197),SUMIFS('Матрица 2027'!$I$6:$I$53,'Матрица 2027'!$B$6:$B$53,F197,'Матрица 2027'!$C$6:$C$53,D197)))</f>
        <v/>
      </c>
      <c r="V197" s="38"/>
    </row>
    <row r="198" customFormat="false" ht="15" hidden="false" customHeight="false" outlineLevel="0" collapsed="false">
      <c r="B198" s="24" t="str">
        <f aca="false">IF(C198="","",ROW()-4)</f>
        <v/>
      </c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40"/>
      <c r="N198" s="52" t="str">
        <f aca="false">IF(COUNT(H198:M198)&lt;6,"",ROUND((H198*'Резиденты — уровни'!$C$19+I198*'Резиденты — уровни'!$C$20+J198*'Резиденты — уровни'!$C$21+K198*'Резиденты — уровни'!$C$22+L198*'Резиденты — уровни'!$C$23+M198*'Резиденты — уровни'!$C$24)/SUM('Резиденты — уровни'!$C$19:$C$24),2))</f>
        <v/>
      </c>
      <c r="O198" s="39" t="str">
        <f aca="false">IF(N198="","",IF(N198&gt;='Резиденты — уровни'!$C$27,"A",IF(N198&gt;='Резиденты — уровни'!$C$28,"B","C")))</f>
        <v/>
      </c>
      <c r="P198" s="38"/>
      <c r="Q198" s="29" t="str">
        <f aca="false">IF(P198&lt;&gt;"",P198,O198)</f>
        <v/>
      </c>
      <c r="R198" s="38"/>
      <c r="S198" s="38"/>
      <c r="T198" s="38"/>
      <c r="U198" s="45" t="str">
        <f aca="false">IF(OR(F198="",D198=""),"",IF(G198=2,SUMIFS('Матрица 2027'!$J$6:$J$53,'Матрица 2027'!$B$6:$B$53,F198,'Матрица 2027'!$C$6:$C$53,D198),SUMIFS('Матрица 2027'!$I$6:$I$53,'Матрица 2027'!$B$6:$B$53,F198,'Матрица 2027'!$C$6:$C$53,D198)))</f>
        <v/>
      </c>
      <c r="V198" s="38"/>
    </row>
    <row r="199" customFormat="false" ht="15" hidden="false" customHeight="false" outlineLevel="0" collapsed="false">
      <c r="B199" s="24" t="str">
        <f aca="false">IF(C199="","",ROW()-4)</f>
        <v/>
      </c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40"/>
      <c r="N199" s="52" t="str">
        <f aca="false">IF(COUNT(H199:M199)&lt;6,"",ROUND((H199*'Резиденты — уровни'!$C$19+I199*'Резиденты — уровни'!$C$20+J199*'Резиденты — уровни'!$C$21+K199*'Резиденты — уровни'!$C$22+L199*'Резиденты — уровни'!$C$23+M199*'Резиденты — уровни'!$C$24)/SUM('Резиденты — уровни'!$C$19:$C$24),2))</f>
        <v/>
      </c>
      <c r="O199" s="39" t="str">
        <f aca="false">IF(N199="","",IF(N199&gt;='Резиденты — уровни'!$C$27,"A",IF(N199&gt;='Резиденты — уровни'!$C$28,"B","C")))</f>
        <v/>
      </c>
      <c r="P199" s="38"/>
      <c r="Q199" s="29" t="str">
        <f aca="false">IF(P199&lt;&gt;"",P199,O199)</f>
        <v/>
      </c>
      <c r="R199" s="38"/>
      <c r="S199" s="38"/>
      <c r="T199" s="38"/>
      <c r="U199" s="45" t="str">
        <f aca="false">IF(OR(F199="",D199=""),"",IF(G199=2,SUMIFS('Матрица 2027'!$J$6:$J$53,'Матрица 2027'!$B$6:$B$53,F199,'Матрица 2027'!$C$6:$C$53,D199),SUMIFS('Матрица 2027'!$I$6:$I$53,'Матрица 2027'!$B$6:$B$53,F199,'Матрица 2027'!$C$6:$C$53,D199)))</f>
        <v/>
      </c>
      <c r="V199" s="38"/>
    </row>
    <row r="200" customFormat="false" ht="15" hidden="false" customHeight="false" outlineLevel="0" collapsed="false">
      <c r="B200" s="24" t="str">
        <f aca="false">IF(C200="","",ROW()-4)</f>
        <v/>
      </c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40"/>
      <c r="N200" s="52" t="str">
        <f aca="false">IF(COUNT(H200:M200)&lt;6,"",ROUND((H200*'Резиденты — уровни'!$C$19+I200*'Резиденты — уровни'!$C$20+J200*'Резиденты — уровни'!$C$21+K200*'Резиденты — уровни'!$C$22+L200*'Резиденты — уровни'!$C$23+M200*'Резиденты — уровни'!$C$24)/SUM('Резиденты — уровни'!$C$19:$C$24),2))</f>
        <v/>
      </c>
      <c r="O200" s="39" t="str">
        <f aca="false">IF(N200="","",IF(N200&gt;='Резиденты — уровни'!$C$27,"A",IF(N200&gt;='Резиденты — уровни'!$C$28,"B","C")))</f>
        <v/>
      </c>
      <c r="P200" s="38"/>
      <c r="Q200" s="29" t="str">
        <f aca="false">IF(P200&lt;&gt;"",P200,O200)</f>
        <v/>
      </c>
      <c r="R200" s="38"/>
      <c r="S200" s="38"/>
      <c r="T200" s="38"/>
      <c r="U200" s="45" t="str">
        <f aca="false">IF(OR(F200="",D200=""),"",IF(G200=2,SUMIFS('Матрица 2027'!$J$6:$J$53,'Матрица 2027'!$B$6:$B$53,F200,'Матрица 2027'!$C$6:$C$53,D200),SUMIFS('Матрица 2027'!$I$6:$I$53,'Матрица 2027'!$B$6:$B$53,F200,'Матрица 2027'!$C$6:$C$53,D200)))</f>
        <v/>
      </c>
      <c r="V200" s="38"/>
    </row>
    <row r="201" customFormat="false" ht="15" hidden="false" customHeight="false" outlineLevel="0" collapsed="false">
      <c r="B201" s="24" t="str">
        <f aca="false">IF(C201="","",ROW()-4)</f>
        <v/>
      </c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40"/>
      <c r="N201" s="52" t="str">
        <f aca="false">IF(COUNT(H201:M201)&lt;6,"",ROUND((H201*'Резиденты — уровни'!$C$19+I201*'Резиденты — уровни'!$C$20+J201*'Резиденты — уровни'!$C$21+K201*'Резиденты — уровни'!$C$22+L201*'Резиденты — уровни'!$C$23+M201*'Резиденты — уровни'!$C$24)/SUM('Резиденты — уровни'!$C$19:$C$24),2))</f>
        <v/>
      </c>
      <c r="O201" s="39" t="str">
        <f aca="false">IF(N201="","",IF(N201&gt;='Резиденты — уровни'!$C$27,"A",IF(N201&gt;='Резиденты — уровни'!$C$28,"B","C")))</f>
        <v/>
      </c>
      <c r="P201" s="38"/>
      <c r="Q201" s="29" t="str">
        <f aca="false">IF(P201&lt;&gt;"",P201,O201)</f>
        <v/>
      </c>
      <c r="R201" s="38"/>
      <c r="S201" s="38"/>
      <c r="T201" s="38"/>
      <c r="U201" s="45" t="str">
        <f aca="false">IF(OR(F201="",D201=""),"",IF(G201=2,SUMIFS('Матрица 2027'!$J$6:$J$53,'Матрица 2027'!$B$6:$B$53,F201,'Матрица 2027'!$C$6:$C$53,D201),SUMIFS('Матрица 2027'!$I$6:$I$53,'Матрица 2027'!$B$6:$B$53,F201,'Матрица 2027'!$C$6:$C$53,D201)))</f>
        <v/>
      </c>
      <c r="V201" s="38"/>
    </row>
    <row r="202" customFormat="false" ht="15" hidden="false" customHeight="false" outlineLevel="0" collapsed="false">
      <c r="B202" s="24" t="str">
        <f aca="false">IF(C202="","",ROW()-4)</f>
        <v/>
      </c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40"/>
      <c r="N202" s="52" t="str">
        <f aca="false">IF(COUNT(H202:M202)&lt;6,"",ROUND((H202*'Резиденты — уровни'!$C$19+I202*'Резиденты — уровни'!$C$20+J202*'Резиденты — уровни'!$C$21+K202*'Резиденты — уровни'!$C$22+L202*'Резиденты — уровни'!$C$23+M202*'Резиденты — уровни'!$C$24)/SUM('Резиденты — уровни'!$C$19:$C$24),2))</f>
        <v/>
      </c>
      <c r="O202" s="39" t="str">
        <f aca="false">IF(N202="","",IF(N202&gt;='Резиденты — уровни'!$C$27,"A",IF(N202&gt;='Резиденты — уровни'!$C$28,"B","C")))</f>
        <v/>
      </c>
      <c r="P202" s="38"/>
      <c r="Q202" s="29" t="str">
        <f aca="false">IF(P202&lt;&gt;"",P202,O202)</f>
        <v/>
      </c>
      <c r="R202" s="38"/>
      <c r="S202" s="38"/>
      <c r="T202" s="38"/>
      <c r="U202" s="45" t="str">
        <f aca="false">IF(OR(F202="",D202=""),"",IF(G202=2,SUMIFS('Матрица 2027'!$J$6:$J$53,'Матрица 2027'!$B$6:$B$53,F202,'Матрица 2027'!$C$6:$C$53,D202),SUMIFS('Матрица 2027'!$I$6:$I$53,'Матрица 2027'!$B$6:$B$53,F202,'Матрица 2027'!$C$6:$C$53,D202)))</f>
        <v/>
      </c>
      <c r="V202" s="38"/>
    </row>
    <row r="203" customFormat="false" ht="15" hidden="false" customHeight="false" outlineLevel="0" collapsed="false">
      <c r="B203" s="24" t="str">
        <f aca="false">IF(C203="","",ROW()-4)</f>
        <v/>
      </c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40"/>
      <c r="N203" s="52" t="str">
        <f aca="false">IF(COUNT(H203:M203)&lt;6,"",ROUND((H203*'Резиденты — уровни'!$C$19+I203*'Резиденты — уровни'!$C$20+J203*'Резиденты — уровни'!$C$21+K203*'Резиденты — уровни'!$C$22+L203*'Резиденты — уровни'!$C$23+M203*'Резиденты — уровни'!$C$24)/SUM('Резиденты — уровни'!$C$19:$C$24),2))</f>
        <v/>
      </c>
      <c r="O203" s="39" t="str">
        <f aca="false">IF(N203="","",IF(N203&gt;='Резиденты — уровни'!$C$27,"A",IF(N203&gt;='Резиденты — уровни'!$C$28,"B","C")))</f>
        <v/>
      </c>
      <c r="P203" s="38"/>
      <c r="Q203" s="29" t="str">
        <f aca="false">IF(P203&lt;&gt;"",P203,O203)</f>
        <v/>
      </c>
      <c r="R203" s="38"/>
      <c r="S203" s="38"/>
      <c r="T203" s="38"/>
      <c r="U203" s="45" t="str">
        <f aca="false">IF(OR(F203="",D203=""),"",IF(G203=2,SUMIFS('Матрица 2027'!$J$6:$J$53,'Матрица 2027'!$B$6:$B$53,F203,'Матрица 2027'!$C$6:$C$53,D203),SUMIFS('Матрица 2027'!$I$6:$I$53,'Матрица 2027'!$B$6:$B$53,F203,'Матрица 2027'!$C$6:$C$53,D203)))</f>
        <v/>
      </c>
      <c r="V203" s="38"/>
    </row>
    <row r="204" customFormat="false" ht="15" hidden="false" customHeight="false" outlineLevel="0" collapsed="false">
      <c r="B204" s="24" t="str">
        <f aca="false">IF(C204="","",ROW()-4)</f>
        <v/>
      </c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40"/>
      <c r="N204" s="52" t="str">
        <f aca="false">IF(COUNT(H204:M204)&lt;6,"",ROUND((H204*'Резиденты — уровни'!$C$19+I204*'Резиденты — уровни'!$C$20+J204*'Резиденты — уровни'!$C$21+K204*'Резиденты — уровни'!$C$22+L204*'Резиденты — уровни'!$C$23+M204*'Резиденты — уровни'!$C$24)/SUM('Резиденты — уровни'!$C$19:$C$24),2))</f>
        <v/>
      </c>
      <c r="O204" s="39" t="str">
        <f aca="false">IF(N204="","",IF(N204&gt;='Резиденты — уровни'!$C$27,"A",IF(N204&gt;='Резиденты — уровни'!$C$28,"B","C")))</f>
        <v/>
      </c>
      <c r="P204" s="38"/>
      <c r="Q204" s="29" t="str">
        <f aca="false">IF(P204&lt;&gt;"",P204,O204)</f>
        <v/>
      </c>
      <c r="R204" s="38"/>
      <c r="S204" s="38"/>
      <c r="T204" s="38"/>
      <c r="U204" s="45" t="str">
        <f aca="false">IF(OR(F204="",D204=""),"",IF(G204=2,SUMIFS('Матрица 2027'!$J$6:$J$53,'Матрица 2027'!$B$6:$B$53,F204,'Матрица 2027'!$C$6:$C$53,D204),SUMIFS('Матрица 2027'!$I$6:$I$53,'Матрица 2027'!$B$6:$B$53,F204,'Матрица 2027'!$C$6:$C$53,D204)))</f>
        <v/>
      </c>
      <c r="V204" s="38"/>
    </row>
  </sheetData>
  <autoFilter ref="B4:V204"/>
  <conditionalFormatting sqref="Q5:Q204">
    <cfRule type="cellIs" priority="2" operator="equal" aboveAverage="0" equalAverage="0" bottom="0" percent="0" rank="0" text="" dxfId="10">
      <formula>"A"</formula>
    </cfRule>
    <cfRule type="cellIs" priority="3" operator="equal" aboveAverage="0" equalAverage="0" bottom="0" percent="0" rank="0" text="" dxfId="11">
      <formula>"B"</formula>
    </cfRule>
    <cfRule type="cellIs" priority="4" operator="equal" aboveAverage="0" equalAverage="0" bottom="0" percent="0" rank="0" text="" dxfId="12">
      <formula>"C"</formula>
    </cfRule>
  </conditionalFormatting>
  <dataValidations count="8">
    <dataValidation allowBlank="true" errorStyle="stop" operator="between" showDropDown="false" showErrorMessage="false" showInputMessage="false" sqref="D5:D204" type="list">
      <formula1>"Москва,Санкт-Петербург,Комбо (1+2),Любая"</formula1>
      <formula2>0</formula2>
    </dataValidation>
    <dataValidation allowBlank="true" errorStyle="stop" operator="between" showDropDown="false" showErrorMessage="false" showInputMessage="false" sqref="E5:E204" type="list">
      <formula1>'Резиденты — уровни'!$I$5:$I$18</formula1>
      <formula2>0</formula2>
    </dataValidation>
    <dataValidation allowBlank="true" errorStyle="stop" operator="between" showDropDown="false" showErrorMessage="false" showInputMessage="false" sqref="F5:F204" type="list">
      <formula1>'Резиденты — уровни'!$H$5:$H$23</formula1>
      <formula2>0</formula2>
    </dataValidation>
    <dataValidation allowBlank="true" errorStyle="stop" operator="between" showDropDown="false" showErrorMessage="false" showInputMessage="false" sqref="G5:G204" type="list">
      <formula1>"1,2"</formula1>
      <formula2>0</formula2>
    </dataValidation>
    <dataValidation allowBlank="true" errorStyle="stop" operator="between" showDropDown="false" showErrorMessage="false" showInputMessage="false" sqref="H5:M204" type="whole">
      <formula1>1</formula1>
      <formula2>5</formula2>
    </dataValidation>
    <dataValidation allowBlank="true" errorStyle="stop" operator="between" showDropDown="false" showErrorMessage="false" showInputMessage="false" sqref="P5:P204" type="list">
      <formula1>"A,B,C"</formula1>
      <formula2>0</formula2>
    </dataValidation>
    <dataValidation allowBlank="true" errorStyle="stop" operator="between" showDropDown="false" showErrorMessage="false" showInputMessage="false" sqref="R5:R204" type="list">
      <formula1>"Да,Нет"</formula1>
      <formula2>0</formula2>
    </dataValidation>
    <dataValidation allowBlank="true" errorStyle="stop" operator="between" showDropDown="false" showErrorMessage="false" showInputMessage="false" sqref="S5:S204" type="list">
      <formula1>'Резиденты — уровни'!$J$5:$J$10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2026-10-16T13:39:26Z</dcterms:created>
  <dc:creator>openpyxl</dc:creator>
  <dc:description/>
  <dc:language>en-US</dc:language>
  <cp:lastModifiedBy/>
  <dcterms:modified xsi:type="dcterms:W3CDTF">2026-10-16T13:39:27Z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